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 Tổng quan" sheetId="1" state="visible" r:id="rId3"/>
    <sheet name="2. Đánh giá chi tiết" sheetId="2" state="visible" r:id="rId4"/>
    <sheet name="3. Phân tích Actor" sheetId="3" state="visible" r:id="rId5"/>
    <sheet name="4. Issues &amp; Gaps" sheetId="4" state="visible" r:id="rId6"/>
    <sheet name="5. Khuyến nghị" sheetId="5" state="visible" r:id="rId7"/>
    <sheet name="6. Tiêu chí đánh giá" sheetId="6" state="visible" r:id="rId8"/>
  </sheets>
  <definedNames>
    <definedName function="false" hidden="true" localSheetId="1" name="_xlnm._FilterDatabase" vbProcedure="false">'2. Đánh giá chi tiết'!$A$3:$N$51</definedName>
    <definedName function="false" hidden="true" localSheetId="3" name="_xlnm._FilterDatabase" vbProcedure="false">'4. Issues &amp; Gaps'!$A$3:$E$23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<sst xmlns="http://schemas.openxmlformats.org/spreadsheetml/2006/main" count="740" uniqueCount="447">
  <si>
    <t xml:space="preserve">REVIEW &amp; ĐÁNH GIÁ TÀI LIỆU USE CASE — CHỊ ƠI!</t>
  </si>
  <si>
    <t xml:space="preserve">Hệ thống đặt dịch vụ giúp việc cho cư dân Vinhomes — 18 màn hình · 48 use cases · 3 actors</t>
  </si>
  <si>
    <t xml:space="preserve">Phiên bản tài liệu</t>
  </si>
  <si>
    <t xml:space="preserve">1.0</t>
  </si>
  <si>
    <t xml:space="preserve">Ngày review</t>
  </si>
  <si>
    <t xml:space="preserve">07/05/2026</t>
  </si>
  <si>
    <t xml:space="preserve">Reviewer</t>
  </si>
  <si>
    <t xml:space="preserve">Claude</t>
  </si>
  <si>
    <t xml:space="preserve">Phương pháp</t>
  </si>
  <si>
    <t xml:space="preserve">Đánh giá theo 5 tiêu chí · Thang điểm 1-5 · Trung bình 4 tiêu chí đầu</t>
  </si>
  <si>
    <t xml:space="preserve">TÓM TẮT KPI</t>
  </si>
  <si>
    <t xml:space="preserve">Tổng số UC</t>
  </si>
  <si>
    <t xml:space="preserve">Khách hàng</t>
  </si>
  <si>
    <t xml:space="preserve">Tasker</t>
  </si>
  <si>
    <t xml:space="preserve">Admin</t>
  </si>
  <si>
    <t xml:space="preserve">Đầy đủ</t>
  </si>
  <si>
    <t xml:space="preserve">Cần bổ sung</t>
  </si>
  <si>
    <t xml:space="preserve">Thiếu</t>
  </si>
  <si>
    <t xml:space="preserve">ĐIỂM TRUNG BÌNH TỔNG THỂ</t>
  </si>
  <si>
    <t xml:space="preserve">3.99 / 5.00</t>
  </si>
  <si>
    <t xml:space="preserve">Đánh giá tổng quan:
TRUNG BÌNH — cần hoàn thiện đáng kể</t>
  </si>
  <si>
    <t xml:space="preserve">ĐIỂM TRUNG BÌNH THEO ACTOR</t>
  </si>
  <si>
    <t xml:space="preserve">Actor</t>
  </si>
  <si>
    <t xml:space="preserve">Số UC</t>
  </si>
  <si>
    <t xml:space="preserve">Mô tả (TB)</t>
  </si>
  <si>
    <t xml:space="preserve">Luồng (TB)</t>
  </si>
  <si>
    <t xml:space="preserve">Ngoại lệ (TB)</t>
  </si>
  <si>
    <t xml:space="preserve">Khả thi (TB)</t>
  </si>
  <si>
    <t xml:space="preserve">Tổng (TB)</t>
  </si>
  <si>
    <t xml:space="preserve">KHUYẾN NGHỊ TỔNG THỂ — 5 ĐIỂM CHÍNH</t>
  </si>
  <si>
    <t xml:space="preserve">STT</t>
  </si>
  <si>
    <t xml:space="preserve">Khuyến nghị</t>
  </si>
  <si>
    <t xml:space="preserve">Mức</t>
  </si>
  <si>
    <t xml:space="preserve">01</t>
  </si>
  <si>
    <t xml:space="preserve">Hoàn thiện 3 UC còn THIẾU (rút tiền KH, cài đặt, danh sách Tasker) trước khi triển khai.</t>
  </si>
  <si>
    <t xml:space="preserve">Cao</t>
  </si>
  <si>
    <t xml:space="preserve">02</t>
  </si>
  <si>
    <t xml:space="preserve">Thiết kế chi tiết flow tài chính: nạp/rút/đối soát/khiếu nại với audit log đầy đủ.</t>
  </si>
  <si>
    <t xml:space="preserve">03</t>
  </si>
  <si>
    <t xml:space="preserve">Bổ sung KYC nâng cao cho Tasker (eKYC, lý lịch tư pháp với trông trẻ).</t>
  </si>
  <si>
    <t xml:space="preserve">04</t>
  </si>
  <si>
    <t xml:space="preserve">Triển khai số ảo (masked phone) để bảo vệ thông tin riêng tư của cả KH và Tasker.</t>
  </si>
  <si>
    <t xml:space="preserve">Trung bình</t>
  </si>
  <si>
    <t xml:space="preserve">05</t>
  </si>
  <si>
    <t xml:space="preserve">Định nghĩa rõ thuật toán matching đơn ↔ Tasker và chính sách phí hủy theo thời điểm.</t>
  </si>
  <si>
    <t xml:space="preserve">ĐÁNH GIÁ CHI TIẾT 48 USE CASES</t>
  </si>
  <si>
    <t xml:space="preserve">Thang điểm 1-5: 5=Xuất sắc · 4=Tốt · 3=Trung bình · 2=Yếu · 1=Rất yếu | Tổng = TB(C1..C4)</t>
  </si>
  <si>
    <t xml:space="preserve">Mã UC</t>
  </si>
  <si>
    <t xml:space="preserve">Tên Use Case</t>
  </si>
  <si>
    <t xml:space="preserve">Màn hình</t>
  </si>
  <si>
    <t xml:space="preserve">C1
Mô tả</t>
  </si>
  <si>
    <t xml:space="preserve">C2
Luồng</t>
  </si>
  <si>
    <t xml:space="preserve">C3
Ngoại lệ</t>
  </si>
  <si>
    <t xml:space="preserve">C4
Khả thi</t>
  </si>
  <si>
    <t xml:space="preserve">Tổng
TB</t>
  </si>
  <si>
    <t xml:space="preserve">Mức
ưu tiên</t>
  </si>
  <si>
    <t xml:space="preserve">Rủi ro</t>
  </si>
  <si>
    <t xml:space="preserve">Tình trạng</t>
  </si>
  <si>
    <t xml:space="preserve">Vấn đề / Issue</t>
  </si>
  <si>
    <t xml:space="preserve">UC-KH-01</t>
  </si>
  <si>
    <t xml:space="preserve">Đăng nhập hệ thống</t>
  </si>
  <si>
    <t xml:space="preserve">M01</t>
  </si>
  <si>
    <t xml:space="preserve">Chưa đề cập xác thực 2 lớp (2FA) hoặc giới hạn số lần thử sai.</t>
  </si>
  <si>
    <t xml:space="preserve">Bổ sung khóa tài khoản tạm thời sau 5 lần sai mật khẩu; cân nhắc 2FA cho tài khoản có ví nhiều tiền.</t>
  </si>
  <si>
    <t xml:space="preserve">UC-KH-02</t>
  </si>
  <si>
    <t xml:space="preserve">Quên mật khẩu / Đặt lại qua OTP</t>
  </si>
  <si>
    <t xml:space="preserve">M03</t>
  </si>
  <si>
    <t xml:space="preserve">Chưa quy định thời hạn hiệu lực OTP và rate-limit gửi SMS.</t>
  </si>
  <si>
    <t xml:space="preserve">Quy định OTP hiệu lực 5 phút; giới hạn 3 lần gửi OTP / 30 phút / SĐT để chống lạm dụng.</t>
  </si>
  <si>
    <t xml:space="preserve">UC-KH-03</t>
  </si>
  <si>
    <t xml:space="preserve">Xem trang chủ</t>
  </si>
  <si>
    <t xml:space="preserve">M04</t>
  </si>
  <si>
    <t xml:space="preserve">Thấp</t>
  </si>
  <si>
    <t xml:space="preserve">Chưa nêu cách xử lý khi không có Tasker khả dụng / không có dữ liệu top.</t>
  </si>
  <si>
    <t xml:space="preserve">Bổ sung empty-state khi không có Tasker; placeholder loading khi mạng chậm.</t>
  </si>
  <si>
    <t xml:space="preserve">UC-KH-04</t>
  </si>
  <si>
    <t xml:space="preserve">Tìm kiếm dịch vụ</t>
  </si>
  <si>
    <t xml:space="preserve">Tìm kiếm chỉ trả về 'dịch vụ gợi ý' — chưa rõ phạm vi tìm kiếm có bao gồm Tasker, gói, bài viết hay không.</t>
  </si>
  <si>
    <t xml:space="preserve">Mở rộng phạm vi: dịch vụ + tasker + gói + FAQ; thêm gợi ý từ khóa phổ biến và lịch sử tìm kiếm.</t>
  </si>
  <si>
    <t xml:space="preserve">UC-KH-05</t>
  </si>
  <si>
    <t xml:space="preserve">Xem Tasker gần bạn</t>
  </si>
  <si>
    <t xml:space="preserve">Chưa quy định 'gần' là theo bán kính hay cùng tòa/khu nhà.</t>
  </si>
  <si>
    <t xml:space="preserve">Định nghĩa rõ thuật toán: ưu tiên cùng block → cùng tòa → bán kính 2km.</t>
  </si>
  <si>
    <t xml:space="preserve">UC-KH-06</t>
  </si>
  <si>
    <t xml:space="preserve">Xem gói gia đình 30 ngày</t>
  </si>
  <si>
    <t xml:space="preserve">Mô tả gói còn sơ sài (chỉ banner). Chưa rõ giá, quyền lợi, điều khoản.</t>
  </si>
  <si>
    <t xml:space="preserve">Tạo màn hình chi tiết gói riêng (M-pkg) với: giá, quyền lợi, FAQ, T&amp;C; tách thành UC độc lập đầy đủ.</t>
  </si>
  <si>
    <t xml:space="preserve">UC-KH-07</t>
  </si>
  <si>
    <t xml:space="preserve">Đặt dịch vụ dọn nhà</t>
  </si>
  <si>
    <t xml:space="preserve">M05</t>
  </si>
  <si>
    <t xml:space="preserve">Chưa nói rõ ràng buộc đặt lịch (giờ tối thiểu trước, trùng lịch, ngày lễ).</t>
  </si>
  <si>
    <t xml:space="preserve">Bổ sung: chỉ cho đặt sau 2h hiện tại; cảnh báo khi trùng đơn đang chờ; phụ phí cuối tuần/lễ.</t>
  </si>
  <si>
    <t xml:space="preserve">UC-KH-08</t>
  </si>
  <si>
    <t xml:space="preserve">Đặt dịch vụ trông trẻ</t>
  </si>
  <si>
    <t xml:space="preserve">M06</t>
  </si>
  <si>
    <t xml:space="preserve">Trông trẻ là nghiệp vụ rủi ro cao — chưa đề cập chứng chỉ Tasker, hồ sơ y tế trẻ.</t>
  </si>
  <si>
    <t xml:space="preserve">Yêu cầu Tasker trông trẻ phải có chứng chỉ; cho phép cư dân khai báo dị ứng/lưu ý đặc biệt; bảo hiểm trẻ em.</t>
  </si>
  <si>
    <t xml:space="preserve">UC-KH-09</t>
  </si>
  <si>
    <t xml:space="preserve">Đặt dịch vụ mua hộ WinMart</t>
  </si>
  <si>
    <t xml:space="preserve">M07</t>
  </si>
  <si>
    <t xml:space="preserve">Chưa rõ cơ chế quyết toán khi giá thực tế ≠ ngân sách (vượt/thiếu).</t>
  </si>
  <si>
    <t xml:space="preserve">Bổ sung quy trình: Tasker chụp hóa đơn, hệ thống đối chiếu; vượt ngân sách phải xác nhận qua chat trước khi mua.</t>
  </si>
  <si>
    <t xml:space="preserve">UC-KH-10</t>
  </si>
  <si>
    <t xml:space="preserve">Theo dõi tiến trình đơn</t>
  </si>
  <si>
    <t xml:space="preserve">M08</t>
  </si>
  <si>
    <t xml:space="preserve">Chưa rõ độ trễ cập nhật trạng thái (real-time hay polling).</t>
  </si>
  <si>
    <t xml:space="preserve">Sử dụng push notification + polling 30s làm fallback; SLA cập nhật &lt; 10s.</t>
  </si>
  <si>
    <t xml:space="preserve">UC-KH-11</t>
  </si>
  <si>
    <t xml:space="preserve">Chat với Tasker</t>
  </si>
  <si>
    <t xml:space="preserve">M10</t>
  </si>
  <si>
    <t xml:space="preserve">Chưa có chính sách kiểm duyệt nội dung và lưu trữ chat làm bằng chứng.</t>
  </si>
  <si>
    <t xml:space="preserve">Bổ sung: lọc bad-words (đã có file bad_words.txt); lưu chat 90 ngày sau đơn; cấm chia sẻ SĐT cá nhân ngoài hệ thống.</t>
  </si>
  <si>
    <t xml:space="preserve">UC-KH-12</t>
  </si>
  <si>
    <t xml:space="preserve">Gọi điện cho Tasker</t>
  </si>
  <si>
    <t xml:space="preserve">M08, M10</t>
  </si>
  <si>
    <t xml:space="preserve">Lộ SĐT thật của hai bên — vi phạm bảo mật.</t>
  </si>
  <si>
    <t xml:space="preserve">Triển khai số ảo (masked phone) — như Grab/Be — chỉ hoạt động trong khoảng thời gian đơn.</t>
  </si>
  <si>
    <t xml:space="preserve">UC-KH-13</t>
  </si>
  <si>
    <t xml:space="preserve">Hủy đơn</t>
  </si>
  <si>
    <t xml:space="preserve">M08, M09</t>
  </si>
  <si>
    <t xml:space="preserve">Chưa rõ chính sách phí hủy theo thời điểm hủy (trước/sau khi Tasker xác nhận / đến nơi).</t>
  </si>
  <si>
    <t xml:space="preserve">Quy định 3 mốc: hủy trước khớp Tasker (miễn phí); sau khớp &amp; trước Tasker xuất phát (phí 10%); sau xuất phát (phí 30-50%).</t>
  </si>
  <si>
    <t xml:space="preserve">UC-KH-14</t>
  </si>
  <si>
    <t xml:space="preserve">Xem lịch sử hoạt động</t>
  </si>
  <si>
    <t xml:space="preserve">M09</t>
  </si>
  <si>
    <t xml:space="preserve">Chưa có bộ lọc theo loại dịch vụ / khoảng thời gian.</t>
  </si>
  <si>
    <t xml:space="preserve">Bổ sung filter: loại dịch vụ, từ-đến ngày, Tasker; có thể export CSV.</t>
  </si>
  <si>
    <t xml:space="preserve">UC-KH-15</t>
  </si>
  <si>
    <t xml:space="preserve">Xem thông báo</t>
  </si>
  <si>
    <t xml:space="preserve">M11</t>
  </si>
  <si>
    <t xml:space="preserve">Chưa phân loại thông báo (đơn / ví / hệ thống / khuyến mãi).</t>
  </si>
  <si>
    <t xml:space="preserve">Thêm tabs phân loại; cho phép tắt từng nhóm thông báo trong Cài đặt.</t>
  </si>
  <si>
    <t xml:space="preserve">UC-KH-16</t>
  </si>
  <si>
    <t xml:space="preserve">Đánh giá Tasker</t>
  </si>
  <si>
    <t xml:space="preserve">M12</t>
  </si>
  <si>
    <t xml:space="preserve">Chưa có cơ chế nhắc đánh giá tự động &amp; xử lý đánh giá tiêu cực.</t>
  </si>
  <si>
    <t xml:space="preserve">Auto-prompt sau 24h nếu chưa đánh giá; đánh giá ≤2★ tự động tạo ticket cho Admin.</t>
  </si>
  <si>
    <t xml:space="preserve">UC-KH-17</t>
  </si>
  <si>
    <t xml:space="preserve">Xem ví &amp; lịch sử giao dịch</t>
  </si>
  <si>
    <t xml:space="preserve">M13</t>
  </si>
  <si>
    <t xml:space="preserve">Lịch sử giao dịch chưa có bộ lọc &amp; xuất file.</t>
  </si>
  <si>
    <t xml:space="preserve">Thêm filter: loại giao dịch, khoảng thời gian; nút export PDF/CSV.</t>
  </si>
  <si>
    <t xml:space="preserve">UC-KH-18</t>
  </si>
  <si>
    <t xml:space="preserve">Nạp tiền vào ví</t>
  </si>
  <si>
    <t xml:space="preserve">M14</t>
  </si>
  <si>
    <t xml:space="preserve">Bước 'Tôi đã chuyển khoản' phụ thuộc xác nhận thủ công — dễ sai sót và chậm.</t>
  </si>
  <si>
    <t xml:space="preserve">Tích hợp webhook ngân hàng (VietQR) để tự động ghi nhận; fallback Admin duyệt thủ công nếu webhook lỗi.</t>
  </si>
  <si>
    <t xml:space="preserve">UC-KH-19</t>
  </si>
  <si>
    <t xml:space="preserve">Rút tiền từ ví</t>
  </si>
  <si>
    <t xml:space="preserve">Mô tả rất sơ sài — chưa có flow xác minh, mức rút tối thiểu/tối đa, phí rút, KYC.</t>
  </si>
  <si>
    <t xml:space="preserve">Viết lại UC chi tiết: yêu cầu liên kết tài khoản ngân hàng đã KYC; hạn mức 50k-50tr/ngày; phí rút 5k/lần.</t>
  </si>
  <si>
    <t xml:space="preserve">UC-KH-20</t>
  </si>
  <si>
    <t xml:space="preserve">Xem &amp; quản lý thông tin cá nhân</t>
  </si>
  <si>
    <t xml:space="preserve">M15</t>
  </si>
  <si>
    <t xml:space="preserve">Chưa có flow xác minh khi thay đổi SĐT (yếu tố nhạy cảm).</t>
  </si>
  <si>
    <t xml:space="preserve">Đổi SĐT phải qua OTP cả số cũ và số mới; đổi địa chỉ căn hộ phải có xác thực BQL tòa nhà.</t>
  </si>
  <si>
    <t xml:space="preserve">UC-KH-21</t>
  </si>
  <si>
    <t xml:space="preserve">Quản lý ví &amp; phương thức thanh toán</t>
  </si>
  <si>
    <t xml:space="preserve">Chưa rõ cách lưu thẻ/tài khoản (token hóa?) và quy trình xóa.</t>
  </si>
  <si>
    <t xml:space="preserve">Bắt buộc token hóa qua cổng thanh toán; xác nhận OTP khi thêm phương thức mới.</t>
  </si>
  <si>
    <t xml:space="preserve">UC-KH-22</t>
  </si>
  <si>
    <t xml:space="preserve">Đăng ký gói gia đình</t>
  </si>
  <si>
    <t xml:space="preserve">Phụ thuộc vào UC-KH-06 chưa rõ ràng — quyền lợi gói chưa được mô tả.</t>
  </si>
  <si>
    <t xml:space="preserve">Hoàn thiện UC-KH-06 trước; bổ sung flow gia hạn tự động và nhắc trước hạn 3 ngày.</t>
  </si>
  <si>
    <t xml:space="preserve">UC-KH-23</t>
  </si>
  <si>
    <t xml:space="preserve">Liên hệ CSKH hỗ trợ 24/7</t>
  </si>
  <si>
    <t xml:space="preserve">Chưa có SLA phản hồi và phân loại mức độ ưu tiên.</t>
  </si>
  <si>
    <t xml:space="preserve">SLA: chat ≤ 5 phút giờ hành chính, ≤30 phút ngoài giờ; phân priority: khẩn cấp/thường/thắc mắc.</t>
  </si>
  <si>
    <t xml:space="preserve">UC-KH-24</t>
  </si>
  <si>
    <t xml:space="preserve">Cài đặt tài khoản</t>
  </si>
  <si>
    <t xml:space="preserve">Chỉ ghi 'tùy chỉnh thiết lập' — không liệt kê cụ thể những gì cài đặt được.</t>
  </si>
  <si>
    <t xml:space="preserve">Liệt kê: thông báo (push/email/SMS), ngôn ngữ (VI/EN), quyền riêng tư, đổi mật khẩu, xóa tài khoản (GDPR).</t>
  </si>
  <si>
    <t xml:space="preserve">UC-KH-25</t>
  </si>
  <si>
    <t xml:space="preserve">Đăng xuất</t>
  </si>
  <si>
    <t xml:space="preserve">Chưa nói tới đăng xuất tất cả thiết bị.</t>
  </si>
  <si>
    <t xml:space="preserve">Bổ sung tùy chọn 'Đăng xuất tất cả thiết bị' trong Cài đặt bảo mật.</t>
  </si>
  <si>
    <t xml:space="preserve">UC-T-01</t>
  </si>
  <si>
    <t xml:space="preserve">Đăng nhập với vai trò Tasker</t>
  </si>
  <si>
    <t xml:space="preserve">Tương tự UC-KH-01 — chưa có 2FA, chưa giới hạn brute-force.</t>
  </si>
  <si>
    <t xml:space="preserve">Áp dụng cùng chính sách bảo mật như Khách hàng; xem xét 2FA bắt buộc với Tasker (vì có thu nhập).</t>
  </si>
  <si>
    <t xml:space="preserve">UC-T-02</t>
  </si>
  <si>
    <t xml:space="preserve">Đăng ký trở thành Tasker</t>
  </si>
  <si>
    <t xml:space="preserve">M02</t>
  </si>
  <si>
    <t xml:space="preserve">Quy trình KYC còn đơn giản — chỉ ảnh selfie + CCCD. Chưa có liveness check, chưa có lý lịch tư pháp.</t>
  </si>
  <si>
    <t xml:space="preserve">Tích hợp eKYC (FPT.AI / VNPT eKYC); yêu cầu lý lịch tư pháp số 1 cho Tasker trông trẻ; phỏng vấn online.</t>
  </si>
  <si>
    <t xml:space="preserve">UC-T-03</t>
  </si>
  <si>
    <t xml:space="preserve">Trùng với UC-KH-02 — có thể gộp.</t>
  </si>
  <si>
    <t xml:space="preserve">Cân nhắc thiết kế UC chung 'Reset Password' áp dụng cho cả 2 actor để tránh trùng lặp.</t>
  </si>
  <si>
    <t xml:space="preserve">UC-T-04</t>
  </si>
  <si>
    <t xml:space="preserve">Bật/tắt trạng thái Online/Offline</t>
  </si>
  <si>
    <t xml:space="preserve">M16</t>
  </si>
  <si>
    <t xml:space="preserve">Chưa xử lý trường hợp Tasker đang Online nhưng mất kết nối lâu (zombie online).</t>
  </si>
  <si>
    <t xml:space="preserve">Auto-offline sau 5 phút không heartbeat; thông báo Tasker khi bị auto-offline.</t>
  </si>
  <si>
    <t xml:space="preserve">UC-T-05</t>
  </si>
  <si>
    <t xml:space="preserve">Xem đơn mới</t>
  </si>
  <si>
    <t xml:space="preserve">Chưa rõ tiêu chí phân phối đơn (round-robin, gần nhất, rating cao nhất?).</t>
  </si>
  <si>
    <t xml:space="preserve">Tài liệu hóa thuật toán matching: kết hợp khoảng cách (40%) + rating (30%) + tỷ lệ nhận (20%) + load hiện tại (10%).</t>
  </si>
  <si>
    <t xml:space="preserve">UC-T-06</t>
  </si>
  <si>
    <t xml:space="preserve">Nhận đơn</t>
  </si>
  <si>
    <t xml:space="preserve">Chưa có timeout cho việc nhận đơn — nếu Tasker im lặng quá lâu thì sao?</t>
  </si>
  <si>
    <t xml:space="preserve">Đơn tự hết hạn sau 60s nếu không có phản hồi → chuyển Tasker khác.</t>
  </si>
  <si>
    <t xml:space="preserve">UC-T-07</t>
  </si>
  <si>
    <t xml:space="preserve">Bỏ qua đơn</t>
  </si>
  <si>
    <t xml:space="preserve">Đề cập 'có thể giảm ưu tiên' nhưng chưa rõ ngưỡng.</t>
  </si>
  <si>
    <t xml:space="preserve">Quy định cụ thể: tỷ lệ bỏ qua &gt; 30% trong 7 ngày → giảm 50% lượng đơn được phân; &gt; 50% → tạm khóa nhận đơn.</t>
  </si>
  <si>
    <t xml:space="preserve">UC-T-08</t>
  </si>
  <si>
    <t xml:space="preserve">Xem đơn đang thực hiện</t>
  </si>
  <si>
    <t xml:space="preserve">Bộ đếm thời gian không nói rõ là đếm ngược hay đếm xuôi từ giờ bắt đầu.</t>
  </si>
  <si>
    <t xml:space="preserve">Làm rõ trong tài liệu: đếm xuôi từ thời điểm Tasker check-in tại nhà cư dân.</t>
  </si>
  <si>
    <t xml:space="preserve">UC-T-09</t>
  </si>
  <si>
    <t xml:space="preserve">Hoàn thành đơn</t>
  </si>
  <si>
    <t xml:space="preserve">Mục 'Luồng thay thế' nói cần 'xác nhận hai chiều' nhưng chưa thiết kế UI cho khách xác nhận.</t>
  </si>
  <si>
    <t xml:space="preserve">Thiết kế thêm bước: Tasker bấm hoàn thành → Khách nhận thông báo → Khách xác nhận trong 30 phút (auto-approve nếu im lặng).</t>
  </si>
  <si>
    <t xml:space="preserve">UC-T-10</t>
  </si>
  <si>
    <t xml:space="preserve">Xem lịch sử đơn đã làm</t>
  </si>
  <si>
    <t xml:space="preserve">M16 (tab)</t>
  </si>
  <si>
    <t xml:space="preserve">Mô tả ngắn — chưa có filter, search, chi tiết từng đơn.</t>
  </si>
  <si>
    <t xml:space="preserve">Bổ sung filter (theo tháng, loại dịch vụ, đánh giá); chi tiết đơn xem được đánh giá khách đã cho.</t>
  </si>
  <si>
    <t xml:space="preserve">UC-T-11</t>
  </si>
  <si>
    <t xml:space="preserve">Chat với khách hàng</t>
  </si>
  <si>
    <t xml:space="preserve">Trùng UC-KH-11 — chỉ khác hướng. Chưa có thông báo khi khách offline.</t>
  </si>
  <si>
    <t xml:space="preserve">Hợp nhất logic chat 2 chiều; hiển thị 'Khách đang offline, sẽ nhận được sau' khi đối phương offline.</t>
  </si>
  <si>
    <t xml:space="preserve">UC-T-12</t>
  </si>
  <si>
    <t xml:space="preserve">Xem thu nhập &amp; thống kê</t>
  </si>
  <si>
    <t xml:space="preserve">M17</t>
  </si>
  <si>
    <t xml:space="preserve">Phí 15% là cố định trên UI — chưa rõ cách tính khi có khuyến mãi/voucher.</t>
  </si>
  <si>
    <t xml:space="preserve">Làm rõ: phí tính trên giá trị thực thu (sau giảm giá); hiển thị breakdown chi tiết khi click vào con số.</t>
  </si>
  <si>
    <t xml:space="preserve">UC-T-13</t>
  </si>
  <si>
    <t xml:space="preserve">Yêu cầu rút tiền</t>
  </si>
  <si>
    <t xml:space="preserve">Chưa nói về thời gian xử lý, hạn mức, thuế TNCN với Tasker thu nhập cao.</t>
  </si>
  <si>
    <t xml:space="preserve">Quy định: xử lý T+1 ngày làm việc; hạn mức 100k-100tr/lần, max 200tr/tháng; tự động khấu trừ 10% TNCN khi &gt;2tr/lần.</t>
  </si>
  <si>
    <t xml:space="preserve">UC-T-14</t>
  </si>
  <si>
    <t xml:space="preserve">Xem thông tin cá nhân Tasker</t>
  </si>
  <si>
    <t xml:space="preserve">Quá ngắn — chưa nêu rõ những gì Tasker có thể chỉnh sửa.</t>
  </si>
  <si>
    <t xml:space="preserve">Liệt kê: avatar, mô tả bản thân, dịch vụ cung cấp (cần Admin duyệt khi thêm), khu vực phục vụ; KYC info read-only.</t>
  </si>
  <si>
    <t xml:space="preserve">UC-AD-01</t>
  </si>
  <si>
    <t xml:space="preserve">Xem bảng điều khiển tổng quan</t>
  </si>
  <si>
    <t xml:space="preserve">M18</t>
  </si>
  <si>
    <t xml:space="preserve">Chỉ có 4 KPI cơ bản — thiếu xu hướng dài hạn (7/30 ngày).</t>
  </si>
  <si>
    <t xml:space="preserve">Bổ sung sparkline 7 ngày cho từng KPI; thêm KPI: GMV, retention rate, CAC.</t>
  </si>
  <si>
    <t xml:space="preserve">UC-AD-02</t>
  </si>
  <si>
    <t xml:space="preserve">Xem &amp; theo dõi danh sách đơn hàng</t>
  </si>
  <si>
    <t xml:space="preserve">M18 (tab)</t>
  </si>
  <si>
    <t xml:space="preserve">Chỉ liệt kê 4 đơn ví dụ — chưa có pagination, filter, search nâng cao.</t>
  </si>
  <si>
    <t xml:space="preserve">Thêm: filter theo trạng thái/loại DV/ngày/giá trị; search theo mã đơn / SĐT; pagination 50 đơn/trang; export Excel.</t>
  </si>
  <si>
    <t xml:space="preserve">UC-AD-03</t>
  </si>
  <si>
    <t xml:space="preserve">Can thiệp đơn hàng cần xử lý</t>
  </si>
  <si>
    <t xml:space="preserve">Chưa có cảnh báo chủ động (notification cho Admin khi có đơn cần can thiệp).</t>
  </si>
  <si>
    <t xml:space="preserve">Push/email cảnh báo khi: đơn chờ Tasker &gt; 8 phút; đơn bị hủy bởi Tasker &lt; 30 phút trước giờ; khiếu nại mới.</t>
  </si>
  <si>
    <t xml:space="preserve">UC-AD-04</t>
  </si>
  <si>
    <t xml:space="preserve">Xem &amp; quản lý danh sách Tasker</t>
  </si>
  <si>
    <t xml:space="preserve">Mô tả rất ngắn — chưa có flow duyệt hồ sơ chi tiết, blacklist, suspend, reactivate.</t>
  </si>
  <si>
    <t xml:space="preserve">Viết lại UC: tab phụ 'Chờ duyệt' với checklist KYC; flow Approve/Reject/Request more info; lịch sử thay đổi trạng thái Tasker.</t>
  </si>
  <si>
    <t xml:space="preserve">UC-AD-05</t>
  </si>
  <si>
    <t xml:space="preserve">Xem &amp; quản lý danh sách Cư dân</t>
  </si>
  <si>
    <t xml:space="preserve">Thiếu chi tiết về xử lý cư dân vi phạm, gộp tài khoản trùng SĐT, lookup nhanh.</t>
  </si>
  <si>
    <t xml:space="preserve">Bổ sung action: khóa/mở khóa, tặng credit, xem lifetime value, danh sách đơn của khách.</t>
  </si>
  <si>
    <t xml:space="preserve">UC-AD-06</t>
  </si>
  <si>
    <t xml:space="preserve">Quản lý ví &amp; giao dịch tài chính</t>
  </si>
  <si>
    <t xml:space="preserve">UC quan trọng nhất tài chính nhưng mô tả còn chung chung.</t>
  </si>
  <si>
    <t xml:space="preserve">Tách thành nhiều UC con: (a) Duyệt rút tiền Tasker; (b) Đối soát giao dịch ngân hàng; (c) Hoàn tiền cư dân; (d) Báo cáo tài chính. Mỗi UC có audit log.</t>
  </si>
  <si>
    <t xml:space="preserve">UC-AD-07</t>
  </si>
  <si>
    <t xml:space="preserve">Xem &amp; quản lý hộp thư (Inbox)</t>
  </si>
  <si>
    <t xml:space="preserve">Chưa có cơ chế phân ticket cho nhiều Admin và SLA.</t>
  </si>
  <si>
    <t xml:space="preserve">Bổ sung: assign ticket cho Admin cụ thể; status (mở/đang xử lý/đóng); SLA timer; tag (kỹ thuật/tài chính/khiếu nại).</t>
  </si>
  <si>
    <t xml:space="preserve">UC-AD-08</t>
  </si>
  <si>
    <t xml:space="preserve">Xử lý khiếu nại</t>
  </si>
  <si>
    <t xml:space="preserve">Chưa có template quyết định và escalation cho khiếu nại nghiêm trọng.</t>
  </si>
  <si>
    <t xml:space="preserve">Tạo workflow: mức 1 (CSKH xử lý &lt;24h, hoàn tiền &lt;500k), mức 2 (Manager &lt;48h, &lt;5tr), mức 3 (BOD).</t>
  </si>
  <si>
    <t xml:space="preserve">UC-AD-09</t>
  </si>
  <si>
    <t xml:space="preserve">Theo dõi doanh thu &amp; phí hoa hồng</t>
  </si>
  <si>
    <t xml:space="preserve">Chỉ có số liệu hôm nay, thiếu báo cáo tháng/quý/năm và export.</t>
  </si>
  <si>
    <t xml:space="preserve">Thêm dashboard riêng 'Reports': doanh thu theo dịch vụ, top Tasker, P&amp;L tháng, export PDF/Excel.</t>
  </si>
  <si>
    <t xml:space="preserve">PHÂN TÍCH THEO ACTOR</t>
  </si>
  <si>
    <t xml:space="preserve">Tổng UC</t>
  </si>
  <si>
    <t xml:space="preserve">Risk Cao</t>
  </si>
  <si>
    <t xml:space="preserve">Priority Cao</t>
  </si>
  <si>
    <t xml:space="preserve">Điểm TB</t>
  </si>
  <si>
    <t xml:space="preserve">TỔNG / TB</t>
  </si>
  <si>
    <t xml:space="preserve">ĐIỂM MẠNH &amp; ĐIỂM YẾU TỪNG ACTOR</t>
  </si>
  <si>
    <t xml:space="preserve">Điểm mạnh</t>
  </si>
  <si>
    <t xml:space="preserve">Điểm yếu / Cần cải thiện</t>
  </si>
  <si>
    <t xml:space="preserve">Khách hàng (25 UC)</t>
  </si>
  <si>
    <t xml:space="preserve">• Bao phủ đầy đủ flow chính: đăng nhập → đặt → thanh toán → đánh giá
• Có 4 dịch vụ với UC riêng cho từng loại
• Tích hợp 3 cổng thanh toán (QR/MoMo/VNPay)
• Hệ thống ví &amp; lịch sử giao dịch rõ ràng</t>
  </si>
  <si>
    <t xml:space="preserve">• Một số UC mô tả còn rất ngắn (UC-KH-19 rút tiền, UC-KH-24 cài đặt)
• Thiếu chính sách bảo mật (2FA, masked phone)
• Chính sách phí hủy chưa rõ
• Chưa có flow xử lý đơn 'Cao cấp' khác 'Cơ bản' chi tiết</t>
  </si>
  <si>
    <t xml:space="preserve">Tasker (14 UC)</t>
  </si>
  <si>
    <t xml:space="preserve">• Flow công việc rõ ràng: đăng ký → online → nhận đơn → hoàn thành → rút tiền
• Có UC bỏ qua đơn — phản ánh thực tế
• Dashboard thu nhập đầy đủ KPI</t>
  </si>
  <si>
    <t xml:space="preserve">• KYC còn yếu — chỉ ảnh CCCD, chưa eKYC/lý lịch tư pháp
• Thiếu logic timeout nhận đơn, anti-cheat (offline giả)
• Thuật toán matching chưa được tài liệu hóa
• UC-T-14 cá nhân quá ngắn</t>
  </si>
  <si>
    <t xml:space="preserve">Admin (9 UC)</t>
  </si>
  <si>
    <t xml:space="preserve">• Có UC riêng cho can thiệp đơn cần xử lý — tốt
• Bao phủ 5 tab chính: Đơn / Tasker / Cư dân / Ví / Inbox
• Có UC theo dõi doanh thu và phí hoa hồng</t>
  </si>
  <si>
    <t xml:space="preserve">• 9 UC là quá ít cho một admin panel — cần tách nhỏ hơn
• UC-AD-04 (Tasker), UC-AD-06 (Ví) mô tả quá chung chung
• Thiếu UC: cấu hình hệ thống, quản lý gói/khuyến mãi, báo cáo định kỳ
• Chưa có audit log và phân quyền nội bộ</t>
  </si>
  <si>
    <t xml:space="preserve">TỔNG HỢP VẤN ĐỀ &amp; ĐỀ XUẤT BỔ SUNG</t>
  </si>
  <si>
    <t xml:space="preserve">#</t>
  </si>
  <si>
    <t xml:space="preserve">Loại</t>
  </si>
  <si>
    <t xml:space="preserve">Mức độ</t>
  </si>
  <si>
    <t xml:space="preserve">Vấn đề / Gap</t>
  </si>
  <si>
    <t xml:space="preserve">Đề xuất bổ sung</t>
  </si>
  <si>
    <t xml:space="preserve">Bảo mật</t>
  </si>
  <si>
    <t xml:space="preserve">Lộ SĐT thật giữa Khách hàng và Tasker khi gọi điện (UC-KH-12).</t>
  </si>
  <si>
    <t xml:space="preserve">Tích hợp số ảo (masked phone) qua Stringee/CMC; chỉ active trong khung giờ đơn ±30 phút.</t>
  </si>
  <si>
    <t xml:space="preserve">Chưa có 2FA, không giới hạn brute-force đăng nhập (UC-KH-01, UC-T-01).</t>
  </si>
  <si>
    <t xml:space="preserve">Khóa tài khoản 15 phút sau 5 lần sai; bật 2FA tự nguyện cho ví &gt;5tr; bắt buộc với Tasker.</t>
  </si>
  <si>
    <t xml:space="preserve">Tài chính</t>
  </si>
  <si>
    <t xml:space="preserve">Quy trình xác nhận nạp tiền thủ công (UC-KH-18) → dễ mất tiền/sai sót.</t>
  </si>
  <si>
    <t xml:space="preserve">Webhook ngân hàng VietQR tự động đối soát theo nội dung CK; lưu 'reference code' duy nhất mỗi lần nạp.</t>
  </si>
  <si>
    <t xml:space="preserve">UC rút tiền cho Khách hàng (UC-KH-19) mô tả quá sơ sài, chưa có hạn mức/phí/KYC.</t>
  </si>
  <si>
    <t xml:space="preserve">Viết lại UC chi tiết: yêu cầu KYC mức 2; hạn mức 50k-50tr/ngày; phí 5k/lần; T+1.</t>
  </si>
  <si>
    <t xml:space="preserve">Quản lý ví Admin (UC-AD-06) chung chung, chưa tách quy trình duyệt rút tiền/đối soát/hoàn tiền.</t>
  </si>
  <si>
    <t xml:space="preserve">Tách thành 4 UC con: duyệt rút Tasker, đối soát giao dịch NH, hoàn tiền KH, báo cáo tài chính. Mỗi UC có audit log.</t>
  </si>
  <si>
    <t xml:space="preserve">Trải nghiệm</t>
  </si>
  <si>
    <t xml:space="preserve">Chính sách phí hủy chưa được nêu rõ (UC-KH-13).</t>
  </si>
  <si>
    <t xml:space="preserve">Quy định 3 mốc: trước khớp Tasker (free), sau khớp - trước xuất phát (10%), sau xuất phát (30-50%).</t>
  </si>
  <si>
    <t xml:space="preserve">Không có cơ chế nhắc đánh giá tự động (UC-KH-16).</t>
  </si>
  <si>
    <t xml:space="preserve">Auto-prompt sau 24h nếu chưa đánh giá; gửi push thông báo; trao điểm thưởng/voucher khi đánh giá.</t>
  </si>
  <si>
    <t xml:space="preserve">KYC</t>
  </si>
  <si>
    <t xml:space="preserve">Đăng ký Tasker (UC-T-02) chỉ cần ảnh selfie+CCCD, dễ giả mạo. Đặc biệt nguy hiểm với UC-KH-08 (trông trẻ).</t>
  </si>
  <si>
    <t xml:space="preserve">Tích hợp eKYC (FPT.AI/VNPT) có liveness check; bắt buộc lý lịch tư pháp số 1 cho Tasker trông trẻ; phỏng vấn online.</t>
  </si>
  <si>
    <t xml:space="preserve">Vận hành</t>
  </si>
  <si>
    <t xml:space="preserve">Thuật toán matching đơn ↔ Tasker chưa được tài liệu hóa (UC-T-05, UC-AD-03).</t>
  </si>
  <si>
    <t xml:space="preserve">Công thức minh bạch: 40% khoảng cách + 30% rating + 20% tỷ lệ nhận đơn + 10% load hiện tại; có thể cấu hình tại Admin.</t>
  </si>
  <si>
    <t xml:space="preserve">Chưa có timeout cho việc nhận đơn của Tasker (UC-T-06).</t>
  </si>
  <si>
    <t xml:space="preserve">Đơn mới hiển thị 60s; không phản hồi → tự động chuyển Tasker khác; Tasker bỏ qua nhiều bị giảm priority.</t>
  </si>
  <si>
    <t xml:space="preserve">Tài liệu</t>
  </si>
  <si>
    <t xml:space="preserve">Một số UC quá ngắn, gần như chỉ mô tả 1 dòng: UC-KH-19, UC-KH-24, UC-T-10, UC-T-14, UC-AD-04.</t>
  </si>
  <si>
    <t xml:space="preserve">Bổ sung đầy đủ các trường: điều kiện tiên quyết, luồng chính chi tiết, ngoại lệ, kết quả mong đợi.</t>
  </si>
  <si>
    <t xml:space="preserve">UC trùng lặp giữa Khách hàng và Tasker (đăng nhập, quên MK, chat).</t>
  </si>
  <si>
    <t xml:space="preserve">Cân nhắc thiết kế UC chung 'Authentication' và 'Messaging' áp dụng cho cả 2 actor để tránh duplicate.</t>
  </si>
  <si>
    <t xml:space="preserve">Pháp lý</t>
  </si>
  <si>
    <t xml:space="preserve">Chưa có UC về thuế TNCN cho Tasker thu nhập cao (UC-T-13).</t>
  </si>
  <si>
    <t xml:space="preserve">Tự động khấu trừ 10% TNCN khi rút &gt;2tr/lần; cấp chứng từ thuế cuối năm; thông báo Tasker khi gần ngưỡng.</t>
  </si>
  <si>
    <t xml:space="preserve">Chưa có flow phê duyệt hồ sơ Tasker chi tiết tại Admin (UC-AD-04).</t>
  </si>
  <si>
    <t xml:space="preserve">Tab phụ 'Chờ duyệt' với checklist KYC; flow Approve/Reject/Request more info; lịch sử thay đổi trạng thái.</t>
  </si>
  <si>
    <t xml:space="preserve">Mở rộng</t>
  </si>
  <si>
    <t xml:space="preserve">Thiếu UC quản lý gói gia đình/khuyến mãi tại Admin.</t>
  </si>
  <si>
    <t xml:space="preserve">Bổ sung UC-AD-10 'Quản lý gói &amp; khuyến mãi' (CRUD voucher, gói tháng, banner trang chủ).</t>
  </si>
  <si>
    <t xml:space="preserve">Thiếu UC báo cáo định kỳ (tuần/tháng/quý) cho Admin.</t>
  </si>
  <si>
    <t xml:space="preserve">Bổ sung UC-AD-11 'Báo cáo định kỳ' với template fix sẵn, schedule gửi email.</t>
  </si>
  <si>
    <t xml:space="preserve">Chưa nói tới quyền xóa tài khoản (GDPR / Nghị định 13/2023).</t>
  </si>
  <si>
    <t xml:space="preserve">Bổ sung UC 'Yêu cầu xóa tài khoản' theo NĐ 13/2023; Admin xử lý trong 30 ngày; ẩn dữ liệu thay vì xóa cứng để giữ audit.</t>
  </si>
  <si>
    <t xml:space="preserve">Tab 'Đã hủy' trong M09 không có UC đi kèm cho việc đặt lại đơn.</t>
  </si>
  <si>
    <t xml:space="preserve">Bổ sung UC 'Đặt lại đơn từ lịch sử' — copy thông tin đơn cũ, cho phép sửa và đặt mới.</t>
  </si>
  <si>
    <t xml:space="preserve">Chưa rõ cơ chế xử lý khi đơn không có Tasker nhận sau N phút.</t>
  </si>
  <si>
    <t xml:space="preserve">Quy trình escalation: 5 phút → mở rộng bán kính; 10 phút → nâng giá tự động +10%; 15 phút → cảnh báo Admin (UC-AD-03).</t>
  </si>
  <si>
    <t xml:space="preserve">Chưa có chính sách lưu trữ và xử lý ảnh chat (UC-KH-11, UC-T-11).</t>
  </si>
  <si>
    <t xml:space="preserve">Lưu ảnh chat encrypted trong 90 ngày; xóa tự động sau khi đơn đóng + 90 ngày; có thể export khi xảy ra khiếu nại.</t>
  </si>
  <si>
    <t xml:space="preserve">KHUYẾN NGHỊ &amp; LỘ TRÌNH HOÀN THIỆN</t>
  </si>
  <si>
    <t xml:space="preserve">Phân chia theo 3 giai đoạn: P0 (bắt buộc trước launch) · P1 (sprint sau launch) · P2 (tương lai)</t>
  </si>
  <si>
    <t xml:space="preserve">Giai đoạn</t>
  </si>
  <si>
    <t xml:space="preserve">Hạng mục</t>
  </si>
  <si>
    <t xml:space="preserve">Mô tả</t>
  </si>
  <si>
    <t xml:space="preserve">Thời gian dự kiến</t>
  </si>
  <si>
    <t xml:space="preserve">Phụ trách</t>
  </si>
  <si>
    <t xml:space="preserve">P0</t>
  </si>
  <si>
    <t xml:space="preserve">Hoàn thiện UC còn thiếu</t>
  </si>
  <si>
    <t xml:space="preserve">Viết lại đầy đủ UC-KH-19 (Rút tiền), UC-KH-24 (Cài đặt), UC-AD-04 (Quản lý Tasker chi tiết).</t>
  </si>
  <si>
    <t xml:space="preserve">1-2 tuần</t>
  </si>
  <si>
    <t xml:space="preserve">BA</t>
  </si>
  <si>
    <t xml:space="preserve">Tách UC tài chính Admin</t>
  </si>
  <si>
    <t xml:space="preserve">Tách UC-AD-06 thành 4 UC con: duyệt rút Tasker / đối soát NH / hoàn tiền KH / báo cáo tài chính.</t>
  </si>
  <si>
    <t xml:space="preserve">1 tuần</t>
  </si>
  <si>
    <t xml:space="preserve">BA + Finance</t>
  </si>
  <si>
    <t xml:space="preserve">Định nghĩa chính sách phí</t>
  </si>
  <si>
    <t xml:space="preserve">Tài liệu hóa: phí hủy theo thời điểm, phí cuối tuần/lễ, phí mua hộ vượt ngân sách, phí rút.</t>
  </si>
  <si>
    <t xml:space="preserve">Product + Finance</t>
  </si>
  <si>
    <t xml:space="preserve">Quy trình KYC Tasker</t>
  </si>
  <si>
    <t xml:space="preserve">Triển khai eKYC + liveness; yêu cầu lý lịch tư pháp với trông trẻ; phỏng vấn online.</t>
  </si>
  <si>
    <t xml:space="preserve">3-4 tuần</t>
  </si>
  <si>
    <t xml:space="preserve">Vendor (FPT.AI) + Ops</t>
  </si>
  <si>
    <t xml:space="preserve">Webhook nạp tiền tự động</t>
  </si>
  <si>
    <t xml:space="preserve">Tích hợp VietQR webhook ngân hàng để tự đối soát; loại bỏ bước 'Tôi đã chuyển khoản' thủ công.</t>
  </si>
  <si>
    <t xml:space="preserve">2-3 tuần</t>
  </si>
  <si>
    <t xml:space="preserve">Backend + Bank</t>
  </si>
  <si>
    <t xml:space="preserve">P1</t>
  </si>
  <si>
    <t xml:space="preserve">Số ảo (masked phone)</t>
  </si>
  <si>
    <t xml:space="preserve">Tích hợp Stringee/CMC để tạo số trung gian; bảo vệ SĐT thật của KH và Tasker.</t>
  </si>
  <si>
    <t xml:space="preserve">3 tuần</t>
  </si>
  <si>
    <t xml:space="preserve">Backend + Vendor</t>
  </si>
  <si>
    <t xml:space="preserve">Bảo mật đăng nhập</t>
  </si>
  <si>
    <t xml:space="preserve">Thêm rate-limit, khóa tạm thời sau 5 lần sai; 2FA tùy chọn cho KH có ví lớn; bắt buộc với Tasker.</t>
  </si>
  <si>
    <t xml:space="preserve">2 tuần</t>
  </si>
  <si>
    <t xml:space="preserve">Backend + Security</t>
  </si>
  <si>
    <t xml:space="preserve">Thuật toán matching minh bạch</t>
  </si>
  <si>
    <t xml:space="preserve">Công khai trọng số: 40% khoảng cách + 30% rating + 20% tỷ lệ nhận + 10% load.</t>
  </si>
  <si>
    <t xml:space="preserve">Backend + Product</t>
  </si>
  <si>
    <t xml:space="preserve">Cảnh báo Admin chủ động</t>
  </si>
  <si>
    <t xml:space="preserve">Push/email khi: đơn chờ &gt;8 phút, Tasker hủy đột ngột, khiếu nại mới, giao dịch bất thường.</t>
  </si>
  <si>
    <t xml:space="preserve">Backend</t>
  </si>
  <si>
    <t xml:space="preserve">Chính sách lưu trữ chat</t>
  </si>
  <si>
    <t xml:space="preserve">Encrypt ảnh chat; lưu 90 ngày sau đơn đóng; export được khi có khiếu nại.</t>
  </si>
  <si>
    <t xml:space="preserve">Backend + Legal</t>
  </si>
  <si>
    <t xml:space="preserve">P2</t>
  </si>
  <si>
    <t xml:space="preserve">Báo cáo định kỳ Admin</t>
  </si>
  <si>
    <t xml:space="preserve">Bổ sung UC-AD-10 Quản lý gói/khuyến mãi và UC-AD-11 Báo cáo định kỳ với schedule email.</t>
  </si>
  <si>
    <t xml:space="preserve">Product + BA</t>
  </si>
  <si>
    <t xml:space="preserve">GDPR / NĐ 13/2023</t>
  </si>
  <si>
    <t xml:space="preserve">Bổ sung UC 'Yêu cầu xóa tài khoản'; ẩn dữ liệu thay vì xóa cứng; đáp ứng quyền của chủ thể dữ liệu.</t>
  </si>
  <si>
    <t xml:space="preserve">Legal + Backend</t>
  </si>
  <si>
    <t xml:space="preserve">Đặt lại đơn từ lịch sử</t>
  </si>
  <si>
    <t xml:space="preserve">Bổ sung UC cho phép copy đơn cũ → sửa → đặt mới; tăng tỷ lệ đặt lại.</t>
  </si>
  <si>
    <t xml:space="preserve">Frontend</t>
  </si>
  <si>
    <t xml:space="preserve">Thuế TNCN tự động</t>
  </si>
  <si>
    <t xml:space="preserve">Tự động khấu trừ 10% TNCN khi Tasker rút &gt;2tr; cấp chứng từ cuối năm.</t>
  </si>
  <si>
    <t xml:space="preserve">Finance + Backend</t>
  </si>
  <si>
    <t xml:space="preserve">Đa ngôn ngữ</t>
  </si>
  <si>
    <t xml:space="preserve">Thêm tiếng Anh cho Vinhomes có nhiều cư dân nước ngoài.</t>
  </si>
  <si>
    <t xml:space="preserve">Frontend + Content</t>
  </si>
  <si>
    <t xml:space="preserve">TỔNG SỐ HẠNG MỤC THEO GIAI ĐOẠN</t>
  </si>
  <si>
    <t xml:space="preserve">P0 — Bắt buộc trước launch</t>
  </si>
  <si>
    <t xml:space="preserve">5 hạng mục · ước tính 8-12 tuần</t>
  </si>
  <si>
    <t xml:space="preserve">P1 — Sprint sau launch</t>
  </si>
  <si>
    <t xml:space="preserve">5 hạng mục · ước tính 9-12 tuần</t>
  </si>
  <si>
    <t xml:space="preserve">P2 — Tương lai (3-6 tháng)</t>
  </si>
  <si>
    <t xml:space="preserve">5 hạng mục · ước tính 10-15 tuần</t>
  </si>
  <si>
    <t xml:space="preserve">PHƯƠNG PHÁP &amp; TIÊU CHÍ ĐÁNH GIÁ</t>
  </si>
  <si>
    <t xml:space="preserve">5 TIÊU CHÍ ĐÁNH GIÁ</t>
  </si>
  <si>
    <t xml:space="preserve">Tiêu chí</t>
  </si>
  <si>
    <t xml:space="preserve">Cách chấm điểm</t>
  </si>
  <si>
    <t xml:space="preserve">C1 — Mô tả rõ ràng</t>
  </si>
  <si>
    <t xml:space="preserve">Mô tả use case rõ ràng, đầy đủ, dễ hiểu. Trường mô tả nắm bắt được mục đích và phạm vi.</t>
  </si>
  <si>
    <t xml:space="preserve">5: Đầy đủ, chi tiết, không gây hiểu nhầm | 3: Hiểu được nhưng chưa chi tiết | 1: Quá ngắn, không đủ thông tin</t>
  </si>
  <si>
    <t xml:space="preserve">C2 — Luồng đầy đủ, hợp lý</t>
  </si>
  <si>
    <t xml:space="preserve">Luồng chính được mô tả từng bước, có tính tuần tự, không nhảy bước hoặc thiếu thao tác.</t>
  </si>
  <si>
    <t xml:space="preserve">5: Luồng đầy đủ, hợp lý, có thể implement ngay | 3: Đủ ý nhưng thiếu vài bước phụ | 1: Mơ hồ, không thể implement</t>
  </si>
  <si>
    <t xml:space="preserve">C3 — Xử lý ngoại lệ</t>
  </si>
  <si>
    <t xml:space="preserve">Đã đề cập các luồng thay thế và trường hợp lỗi (mất kết nối, sai dữ liệu, conflict, etc.).</t>
  </si>
  <si>
    <t xml:space="preserve">5: Bao phủ đa số ngoại lệ thường gặp | 3: Có 1-2 ngoại lệ chính | 1: Không có hoặc rất ít</t>
  </si>
  <si>
    <t xml:space="preserve">C4 — Khả thi triển khai</t>
  </si>
  <si>
    <t xml:space="preserve">Đánh giá độ khả thi kỹ thuật và phù hợp với hạ tầng hiện tại (PHP + MySQL + Capacitor).</t>
  </si>
  <si>
    <t xml:space="preserve">5: Triển khai được ngay với stack hiện tại | 3: Cần thêm vendor/library | 1: Cần thiết kế lại kiến trúc</t>
  </si>
  <si>
    <t xml:space="preserve">C5 — Mức độ ưu tiên</t>
  </si>
  <si>
    <t xml:space="preserve">Mức độ quan trọng đối với MVP và trải nghiệm người dùng cốt lõi.</t>
  </si>
  <si>
    <t xml:space="preserve">Cao: Bắt buộc trong MVP | Trung bình: Cần có nhưng không gấp | Thấp: Nice-to-have</t>
  </si>
  <si>
    <t xml:space="preserve">THANG TỔNG ĐIỂM (TB của C1, C2, C3, C4)</t>
  </si>
  <si>
    <t xml:space="preserve">Khoảng điểm</t>
  </si>
  <si>
    <t xml:space="preserve">Đánh giá</t>
  </si>
  <si>
    <t xml:space="preserve">4.5 - 5.0</t>
  </si>
  <si>
    <t xml:space="preserve">Xuất sắc — sẵn sàng triển khai</t>
  </si>
  <si>
    <t xml:space="preserve">4.0 - 4.4</t>
  </si>
  <si>
    <t xml:space="preserve">Tốt — chỉ cần điều chỉnh nhỏ</t>
  </si>
  <si>
    <t xml:space="preserve">3.0 - 3.9</t>
  </si>
  <si>
    <t xml:space="preserve">Trung bình — cần bổ sung</t>
  </si>
  <si>
    <t xml:space="preserve">Dưới 3.0</t>
  </si>
  <si>
    <t xml:space="preserve">Yếu — cần viết lại</t>
  </si>
  <si>
    <t xml:space="preserve">PHÂN LOẠI TÌNH TRẠNG TÀI LIỆU</t>
  </si>
  <si>
    <t xml:space="preserve">UC mô tả đủ thông tin để chuyển sang phase thiết kế/coding.</t>
  </si>
  <si>
    <t xml:space="preserve">UC có khung cơ bản nhưng cần thêm chi tiết ở 1-2 trường (luồng/ngoại lệ/data).</t>
  </si>
  <si>
    <t xml:space="preserve">UC quá sơ sài (1-2 dòng), cần viết lại trước khi triển khai.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</si>
</sst>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3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11"/>
      <color rgb="FF5F5E5A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534AB7"/>
      <name val="Arial"/>
      <family val="0"/>
      <charset val="1"/>
    </font>
    <font>
      <b val="true"/>
      <sz val="10"/>
      <color rgb="FF854F0B"/>
      <name val="Arial"/>
      <family val="0"/>
      <charset val="1"/>
    </font>
    <font>
      <b val="true"/>
      <sz val="10"/>
      <color rgb="FF0F6E56"/>
      <name val="Arial"/>
      <family val="0"/>
      <charset val="1"/>
    </font>
    <font>
      <b val="true"/>
      <sz val="10"/>
      <color rgb="FFA32D2D"/>
      <name val="Arial"/>
      <family val="0"/>
      <charset val="1"/>
    </font>
    <font>
      <b val="true"/>
      <sz val="22"/>
      <color rgb="FF534AB7"/>
      <name val="Arial"/>
      <family val="0"/>
      <charset val="1"/>
    </font>
    <font>
      <b val="true"/>
      <sz val="22"/>
      <color rgb="FF854F0B"/>
      <name val="Arial"/>
      <family val="0"/>
      <charset val="1"/>
    </font>
    <font>
      <b val="true"/>
      <sz val="22"/>
      <color rgb="FF0F6E56"/>
      <name val="Arial"/>
      <family val="0"/>
      <charset val="1"/>
    </font>
    <font>
      <b val="true"/>
      <sz val="22"/>
      <color rgb="FFA32D2D"/>
      <name val="Arial"/>
      <family val="0"/>
      <charset val="1"/>
    </font>
    <font>
      <b val="true"/>
      <sz val="36"/>
      <color rgb="FF0E7C7B"/>
      <name val="Arial"/>
      <family val="0"/>
      <charset val="1"/>
    </font>
    <font>
      <b val="true"/>
      <sz val="13"/>
      <color rgb="FF1A1A2E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1A1A2E"/>
      <name val="Arial"/>
      <family val="0"/>
      <charset val="1"/>
    </font>
    <font>
      <b val="true"/>
      <sz val="10"/>
      <color rgb="FF1A1A2E"/>
      <name val="Arial"/>
      <family val="0"/>
      <charset val="1"/>
    </font>
    <font>
      <b val="true"/>
      <sz val="10"/>
      <color rgb="FF0E7C7B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i val="true"/>
      <sz val="10"/>
      <color rgb="FF5F5E5A"/>
      <name val="Arial"/>
      <family val="0"/>
      <charset val="1"/>
    </font>
    <font>
      <sz val="10"/>
      <color rgb="FF854F0B"/>
      <name val="Arial"/>
      <family val="0"/>
      <charset val="1"/>
    </font>
    <font>
      <b val="true"/>
      <sz val="10"/>
      <color rgb="FF27500A"/>
      <name val="Arial"/>
      <family val="0"/>
      <charset val="1"/>
    </font>
    <font>
      <b val="true"/>
      <sz val="10"/>
      <color rgb="FF3B6D11"/>
      <name val="Arial"/>
      <family val="0"/>
      <charset val="1"/>
    </font>
    <font>
      <b val="true"/>
      <sz val="10"/>
      <color rgb="FF5F5E5A"/>
      <name val="Arial"/>
      <family val="0"/>
      <charset val="1"/>
    </font>
    <font>
      <sz val="10"/>
      <color rgb="FF0F6E56"/>
      <name val="Arial"/>
      <family val="0"/>
      <charset val="1"/>
    </font>
    <font>
      <sz val="10"/>
      <color rgb="FF534AB7"/>
      <name val="Arial"/>
      <family val="0"/>
      <charset val="1"/>
    </font>
    <font>
      <sz val="10"/>
      <color rgb="FF3B6D11"/>
      <name val="Arial"/>
      <family val="0"/>
      <charset val="1"/>
    </font>
    <font>
      <sz val="10"/>
      <color rgb="FFA32D2D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85FA5"/>
      <name val="Arial"/>
      <family val="0"/>
      <charset val="1"/>
    </font>
    <font>
      <b val="true"/>
      <sz val="10"/>
      <color rgb="FF72243E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color rgb="FF185FA5"/>
      <name val="Arial"/>
      <family val="0"/>
      <charset val="1"/>
    </font>
    <font>
      <sz val="10"/>
      <color rgb="FF27500A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1A1A2E"/>
        <bgColor rgb="FF003300"/>
      </patternFill>
    </fill>
    <fill>
      <patternFill patternType="solid">
        <fgColor rgb="FFFF7D00"/>
        <bgColor rgb="FFFF9900"/>
      </patternFill>
    </fill>
    <fill>
      <patternFill patternType="solid">
        <fgColor rgb="FFEEEDFE"/>
        <bgColor rgb="FFE6F1FB"/>
      </patternFill>
    </fill>
    <fill>
      <patternFill patternType="solid">
        <fgColor rgb="FFFFF0E0"/>
        <bgColor rgb="FFFAEEDA"/>
      </patternFill>
    </fill>
    <fill>
      <patternFill patternType="solid">
        <fgColor rgb="FFE1F5EE"/>
        <bgColor rgb="FFE6F1FB"/>
      </patternFill>
    </fill>
    <fill>
      <patternFill patternType="solid">
        <fgColor rgb="FFFAEEDA"/>
        <bgColor rgb="FFFFF0E0"/>
      </patternFill>
    </fill>
    <fill>
      <patternFill patternType="solid">
        <fgColor rgb="FFFCEBEB"/>
        <bgColor rgb="FFFBEAF0"/>
      </patternFill>
    </fill>
    <fill>
      <patternFill patternType="solid">
        <fgColor rgb="FF0E7C7B"/>
        <bgColor rgb="FF0F6E56"/>
      </patternFill>
    </fill>
    <fill>
      <patternFill patternType="solid">
        <fgColor rgb="FF534AB7"/>
        <bgColor rgb="FF5F5E5A"/>
      </patternFill>
    </fill>
    <fill>
      <patternFill patternType="solid">
        <fgColor rgb="FFC0DD97"/>
        <bgColor rgb="FFD3D1C7"/>
      </patternFill>
    </fill>
    <fill>
      <patternFill patternType="solid">
        <fgColor rgb="FFEAF3DE"/>
        <bgColor rgb="FFF1EFE8"/>
      </patternFill>
    </fill>
    <fill>
      <patternFill patternType="solid">
        <fgColor rgb="FFF1EFE8"/>
        <bgColor rgb="FFEAF3DE"/>
      </patternFill>
    </fill>
    <fill>
      <patternFill patternType="solid">
        <fgColor rgb="FFE6F1FB"/>
        <bgColor rgb="FFEEEDFE"/>
      </patternFill>
    </fill>
    <fill>
      <patternFill patternType="solid">
        <fgColor rgb="FFFBEAF0"/>
        <bgColor rgb="FFFCEBEB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D3D1C7"/>
      </left>
      <right/>
      <top style="thin">
        <color rgb="FFD3D1C7"/>
      </top>
      <bottom style="thin">
        <color rgb="FFD3D1C7"/>
      </bottom>
      <diagonal/>
    </border>
    <border diagonalUp="false" diagonalDown="false"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 diagonalUp="false" diagonalDown="false">
      <left style="thin">
        <color rgb="FFD3D1C7"/>
      </left>
      <right/>
      <top style="thin">
        <color rgb="FFD3D1C7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1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7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8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1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2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2">
    <dxf>
      <fill>
        <patternFill patternType="solid">
          <fgColor rgb="FF1A1A2E"/>
          <bgColor rgb="FF000000"/>
        </patternFill>
      </fill>
    </dxf>
    <dxf>
      <fill>
        <patternFill patternType="solid">
          <fgColor rgb="FFE1F5EE"/>
          <bgColor rgb="FF000000"/>
        </patternFill>
      </fill>
    </dxf>
    <dxf>
      <fill>
        <patternFill patternType="solid">
          <fgColor rgb="FFEEEDFE"/>
          <bgColor rgb="FF000000"/>
        </patternFill>
      </fill>
    </dxf>
    <dxf>
      <fill>
        <patternFill patternType="solid">
          <fgColor rgb="FFFFF0E0"/>
          <bgColor rgb="FF000000"/>
        </patternFill>
      </fill>
    </dxf>
    <dxf>
      <fill>
        <patternFill patternType="solid">
          <fgColor rgb="FF0F6E56"/>
          <bgColor rgb="FF000000"/>
        </patternFill>
      </fill>
    </dxf>
    <dxf>
      <fill>
        <patternFill patternType="solid">
          <fgColor rgb="FF534AB7"/>
          <bgColor rgb="FF000000"/>
        </patternFill>
      </fill>
    </dxf>
    <dxf>
      <fill>
        <patternFill patternType="solid">
          <fgColor rgb="FF854F0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C0DD97"/>
          <bgColor rgb="FF000000"/>
        </patternFill>
      </fill>
    </dxf>
    <dxf>
      <fill>
        <patternFill patternType="solid">
          <fgColor rgb="FFEAF3DE"/>
          <bgColor rgb="FF000000"/>
        </patternFill>
      </fill>
    </dxf>
    <dxf>
      <fill>
        <patternFill patternType="solid">
          <fgColor rgb="FFFAEEDA"/>
          <bgColor rgb="FF000000"/>
        </patternFill>
      </fill>
    </dxf>
    <dxf>
      <fill>
        <patternFill patternType="solid">
          <fgColor rgb="FFFCEBEB"/>
          <bgColor rgb="FF000000"/>
        </patternFill>
      </fill>
    </dxf>
    <dxf>
      <fill>
        <patternFill patternType="solid">
          <fgColor rgb="FF27500A"/>
          <bgColor rgb="FF000000"/>
        </patternFill>
      </fill>
    </dxf>
    <dxf>
      <fill>
        <patternFill patternType="solid">
          <fgColor rgb="FF3B6D11"/>
          <bgColor rgb="FF000000"/>
        </patternFill>
      </fill>
    </dxf>
    <dxf>
      <fill>
        <patternFill patternType="solid">
          <fgColor rgb="FFA32D2D"/>
          <bgColor rgb="FF000000"/>
        </patternFill>
      </fill>
    </dxf>
    <dxf>
      <fill>
        <patternFill patternType="solid">
          <fgColor rgb="FFF1EFE8"/>
          <bgColor rgb="FF000000"/>
        </patternFill>
      </fill>
    </dxf>
    <dxf>
      <fill>
        <patternFill patternType="solid">
          <fgColor rgb="FF5F5E5A"/>
          <bgColor rgb="FF000000"/>
        </patternFill>
      </fill>
    </dxf>
    <dxf>
      <fill>
        <patternFill patternType="solid">
          <fgColor rgb="FFE6F1FB"/>
          <bgColor rgb="FF000000"/>
        </patternFill>
      </fill>
    </dxf>
    <dxf>
      <fill>
        <patternFill patternType="solid">
          <fgColor rgb="FFFBEAF0"/>
          <bgColor rgb="FF000000"/>
        </patternFill>
      </fill>
    </dxf>
    <dxf>
      <fill>
        <patternFill patternType="solid">
          <fgColor rgb="FF185FA5"/>
          <bgColor rgb="FF000000"/>
        </patternFill>
      </fill>
    </dxf>
    <dxf>
      <fill>
        <patternFill patternType="solid">
          <fgColor rgb="FF72243E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3B6D11"/>
      <rgbColor rgb="FF000080"/>
      <rgbColor rgb="FF854F0B"/>
      <rgbColor rgb="FF800080"/>
      <rgbColor rgb="FF0E7C7B"/>
      <rgbColor rgb="FFD3D1C7"/>
      <rgbColor rgb="FF808080"/>
      <rgbColor rgb="FF9999FF"/>
      <rgbColor rgb="FF72243E"/>
      <rgbColor rgb="FFFFF0E0"/>
      <rgbColor rgb="FFE1F5EE"/>
      <rgbColor rgb="FF660066"/>
      <rgbColor rgb="FFFF8080"/>
      <rgbColor rgb="FF185FA5"/>
      <rgbColor rgb="FFEEEDFE"/>
      <rgbColor rgb="FF000080"/>
      <rgbColor rgb="FFFF00FF"/>
      <rgbColor rgb="FFFFFF00"/>
      <rgbColor rgb="FF00FFFF"/>
      <rgbColor rgb="FF800080"/>
      <rgbColor rgb="FF800000"/>
      <rgbColor rgb="FF0F6E56"/>
      <rgbColor rgb="FF0000FF"/>
      <rgbColor rgb="FF00CCFF"/>
      <rgbColor rgb="FFE6F1FB"/>
      <rgbColor rgb="FFEAF3DE"/>
      <rgbColor rgb="FFFAEEDA"/>
      <rgbColor rgb="FFC0DD97"/>
      <rgbColor rgb="FFFBEAF0"/>
      <rgbColor rgb="FFF1EFE8"/>
      <rgbColor rgb="FFFCEBEB"/>
      <rgbColor rgb="FF3366FF"/>
      <rgbColor rgb="FF33CCCC"/>
      <rgbColor rgb="FF99CC00"/>
      <rgbColor rgb="FFFFCC00"/>
      <rgbColor rgb="FFFF9900"/>
      <rgbColor rgb="FFFF7D00"/>
      <rgbColor rgb="FF5F5E5A"/>
      <rgbColor rgb="FF969696"/>
      <rgbColor rgb="FF003366"/>
      <rgbColor rgb="FF339966"/>
      <rgbColor rgb="FF003300"/>
      <rgbColor rgb="FF27500A"/>
      <rgbColor rgb="FFA32D2D"/>
      <rgbColor rgb="FF993366"/>
      <rgbColor rgb="FF534AB7"/>
      <rgbColor rgb="FF1A1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6" min="2" style="0" width="16"/>
    <col collapsed="false" customWidth="true" hidden="false" outlineLevel="0" max="7" min="7" style="0" width="18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24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3" t="s">
        <v>2</v>
      </c>
      <c r="B4" s="4" t="s">
        <v>3</v>
      </c>
    </row>
    <row r="5" customFormat="false" ht="15" hidden="false" customHeight="false" outlineLevel="0" collapsed="false">
      <c r="A5" s="3" t="s">
        <v>4</v>
      </c>
      <c r="B5" s="4" t="s">
        <v>5</v>
      </c>
    </row>
    <row r="6" customFormat="false" ht="15" hidden="false" customHeight="false" outlineLevel="0" collapsed="false">
      <c r="A6" s="3" t="s">
        <v>6</v>
      </c>
      <c r="B6" s="4" t="s">
        <v>7</v>
      </c>
    </row>
    <row r="7" customFormat="false" ht="15" hidden="false" customHeight="false" outlineLevel="0" collapsed="false">
      <c r="A7" s="3" t="s">
        <v>8</v>
      </c>
      <c r="B7" s="4" t="s">
        <v>9</v>
      </c>
    </row>
    <row r="9" customFormat="false" ht="25.5" hidden="false" customHeight="true" outlineLevel="0" collapsed="false">
      <c r="A9" s="5" t="s">
        <v>10</v>
      </c>
      <c r="B9" s="5"/>
      <c r="C9" s="5"/>
      <c r="D9" s="5"/>
      <c r="E9" s="5"/>
      <c r="F9" s="5"/>
      <c r="G9" s="5"/>
    </row>
    <row r="11" customFormat="false" ht="21.75" hidden="false" customHeight="true" outlineLevel="0" collapsed="false">
      <c r="A11" s="6" t="s">
        <v>11</v>
      </c>
      <c r="B11" s="7" t="s">
        <v>12</v>
      </c>
      <c r="C11" s="8" t="s">
        <v>13</v>
      </c>
      <c r="D11" s="6" t="s">
        <v>14</v>
      </c>
      <c r="E11" s="8" t="s">
        <v>15</v>
      </c>
      <c r="F11" s="9" t="s">
        <v>16</v>
      </c>
      <c r="G11" s="10" t="s">
        <v>17</v>
      </c>
    </row>
    <row r="12" customFormat="false" ht="37.5" hidden="false" customHeight="true" outlineLevel="0" collapsed="false">
      <c r="A12" s="11" t="n">
        <v>48</v>
      </c>
      <c r="B12" s="12" t="n">
        <v>25</v>
      </c>
      <c r="C12" s="13" t="n">
        <v>14</v>
      </c>
      <c r="D12" s="11" t="n">
        <v>9</v>
      </c>
      <c r="E12" s="13" t="n">
        <v>21</v>
      </c>
      <c r="F12" s="14" t="n">
        <v>24</v>
      </c>
      <c r="G12" s="15" t="n">
        <v>3</v>
      </c>
    </row>
    <row r="14" customFormat="false" ht="25.5" hidden="false" customHeight="true" outlineLevel="0" collapsed="false">
      <c r="A14" s="16" t="s">
        <v>18</v>
      </c>
      <c r="B14" s="16"/>
      <c r="C14" s="16"/>
      <c r="D14" s="16"/>
      <c r="E14" s="16"/>
      <c r="F14" s="16"/>
      <c r="G14" s="16"/>
    </row>
    <row r="15" customFormat="false" ht="15" hidden="false" customHeight="true" outlineLevel="0" collapsed="false">
      <c r="A15" s="17" t="s">
        <v>19</v>
      </c>
      <c r="B15" s="17"/>
      <c r="C15" s="17"/>
      <c r="D15" s="18" t="s">
        <v>20</v>
      </c>
      <c r="E15" s="18"/>
      <c r="F15" s="18"/>
      <c r="G15" s="18"/>
    </row>
    <row r="16" customFormat="false" ht="15" hidden="false" customHeight="false" outlineLevel="0" collapsed="false">
      <c r="A16" s="17"/>
      <c r="B16" s="17"/>
      <c r="C16" s="17"/>
      <c r="D16" s="18"/>
      <c r="E16" s="18"/>
      <c r="F16" s="18"/>
      <c r="G16" s="18"/>
    </row>
    <row r="18" customFormat="false" ht="25.5" hidden="false" customHeight="true" outlineLevel="0" collapsed="false">
      <c r="A18" s="19" t="s">
        <v>21</v>
      </c>
      <c r="B18" s="19"/>
      <c r="C18" s="19"/>
      <c r="D18" s="19"/>
      <c r="E18" s="19"/>
      <c r="F18" s="19"/>
      <c r="G18" s="19"/>
    </row>
    <row r="19" customFormat="false" ht="31.5" hidden="false" customHeight="true" outlineLevel="0" collapsed="false">
      <c r="A19" s="20" t="s">
        <v>22</v>
      </c>
      <c r="B19" s="20" t="s">
        <v>23</v>
      </c>
      <c r="C19" s="20" t="s">
        <v>24</v>
      </c>
      <c r="D19" s="20" t="s">
        <v>25</v>
      </c>
      <c r="E19" s="20" t="s">
        <v>26</v>
      </c>
      <c r="F19" s="20" t="s">
        <v>27</v>
      </c>
      <c r="G19" s="20" t="s">
        <v>28</v>
      </c>
    </row>
    <row r="20" customFormat="false" ht="21.75" hidden="false" customHeight="true" outlineLevel="0" collapsed="false">
      <c r="A20" s="21" t="s">
        <v>12</v>
      </c>
      <c r="B20" s="22" t="n">
        <v>25</v>
      </c>
      <c r="C20" s="22" t="n">
        <v>4.2</v>
      </c>
      <c r="D20" s="22" t="n">
        <v>4.08</v>
      </c>
      <c r="E20" s="22" t="n">
        <v>3.28</v>
      </c>
      <c r="F20" s="22" t="n">
        <v>4.32</v>
      </c>
      <c r="G20" s="23" t="n">
        <v>3.97</v>
      </c>
    </row>
    <row r="21" customFormat="false" ht="21.75" hidden="false" customHeight="true" outlineLevel="0" collapsed="false">
      <c r="A21" s="24" t="s">
        <v>13</v>
      </c>
      <c r="B21" s="25" t="n">
        <v>14</v>
      </c>
      <c r="C21" s="25" t="n">
        <v>4.36</v>
      </c>
      <c r="D21" s="25" t="n">
        <v>4.36</v>
      </c>
      <c r="E21" s="25" t="n">
        <v>3.43</v>
      </c>
      <c r="F21" s="25" t="n">
        <v>4.57</v>
      </c>
      <c r="G21" s="26" t="n">
        <v>4.18</v>
      </c>
    </row>
    <row r="22" customFormat="false" ht="21.75" hidden="false" customHeight="true" outlineLevel="0" collapsed="false">
      <c r="A22" s="27" t="s">
        <v>14</v>
      </c>
      <c r="B22" s="28" t="n">
        <v>9</v>
      </c>
      <c r="C22" s="28" t="n">
        <v>3.78</v>
      </c>
      <c r="D22" s="28" t="n">
        <v>3.78</v>
      </c>
      <c r="E22" s="28" t="n">
        <v>3.22</v>
      </c>
      <c r="F22" s="28" t="n">
        <v>4.22</v>
      </c>
      <c r="G22" s="29" t="n">
        <v>3.75</v>
      </c>
    </row>
    <row r="24" customFormat="false" ht="25.5" hidden="false" customHeight="true" outlineLevel="0" collapsed="false">
      <c r="A24" s="30" t="s">
        <v>29</v>
      </c>
      <c r="B24" s="30"/>
      <c r="C24" s="30"/>
      <c r="D24" s="30"/>
      <c r="E24" s="30"/>
      <c r="F24" s="30"/>
      <c r="G24" s="30"/>
    </row>
    <row r="25" customFormat="false" ht="24" hidden="false" customHeight="true" outlineLevel="0" collapsed="false">
      <c r="A25" s="20" t="s">
        <v>30</v>
      </c>
      <c r="B25" s="20" t="s">
        <v>31</v>
      </c>
      <c r="C25" s="20"/>
      <c r="D25" s="20"/>
      <c r="E25" s="20"/>
      <c r="F25" s="20"/>
      <c r="G25" s="20" t="s">
        <v>32</v>
      </c>
    </row>
    <row r="26" customFormat="false" ht="27.75" hidden="false" customHeight="true" outlineLevel="0" collapsed="false">
      <c r="A26" s="31" t="s">
        <v>33</v>
      </c>
      <c r="B26" s="32" t="s">
        <v>34</v>
      </c>
      <c r="C26" s="32"/>
      <c r="D26" s="32"/>
      <c r="E26" s="32"/>
      <c r="F26" s="32"/>
      <c r="G26" s="33" t="s">
        <v>35</v>
      </c>
    </row>
    <row r="27" customFormat="false" ht="27.75" hidden="false" customHeight="true" outlineLevel="0" collapsed="false">
      <c r="A27" s="31" t="s">
        <v>36</v>
      </c>
      <c r="B27" s="32" t="s">
        <v>37</v>
      </c>
      <c r="C27" s="32"/>
      <c r="D27" s="32"/>
      <c r="E27" s="32"/>
      <c r="F27" s="32"/>
      <c r="G27" s="33" t="s">
        <v>35</v>
      </c>
    </row>
    <row r="28" customFormat="false" ht="27.75" hidden="false" customHeight="true" outlineLevel="0" collapsed="false">
      <c r="A28" s="31" t="s">
        <v>38</v>
      </c>
      <c r="B28" s="32" t="s">
        <v>39</v>
      </c>
      <c r="C28" s="32"/>
      <c r="D28" s="32"/>
      <c r="E28" s="32"/>
      <c r="F28" s="32"/>
      <c r="G28" s="33" t="s">
        <v>35</v>
      </c>
    </row>
    <row r="29" customFormat="false" ht="27.75" hidden="false" customHeight="true" outlineLevel="0" collapsed="false">
      <c r="A29" s="31" t="s">
        <v>40</v>
      </c>
      <c r="B29" s="32" t="s">
        <v>41</v>
      </c>
      <c r="C29" s="32"/>
      <c r="D29" s="32"/>
      <c r="E29" s="32"/>
      <c r="F29" s="32"/>
      <c r="G29" s="34" t="s">
        <v>42</v>
      </c>
    </row>
    <row r="30" customFormat="false" ht="27.75" hidden="false" customHeight="true" outlineLevel="0" collapsed="false">
      <c r="A30" s="31" t="s">
        <v>43</v>
      </c>
      <c r="B30" s="32" t="s">
        <v>44</v>
      </c>
      <c r="C30" s="32"/>
      <c r="D30" s="32"/>
      <c r="E30" s="32"/>
      <c r="F30" s="32"/>
      <c r="G30" s="34" t="s">
        <v>42</v>
      </c>
    </row>
  </sheetData>
  <mergeCells count="14">
    <mergeCell ref="A1:G1"/>
    <mergeCell ref="A2:G2"/>
    <mergeCell ref="A9:G9"/>
    <mergeCell ref="A14:G14"/>
    <mergeCell ref="A15:C16"/>
    <mergeCell ref="D15:G16"/>
    <mergeCell ref="A18:G18"/>
    <mergeCell ref="A24:G24"/>
    <mergeCell ref="B25:F25"/>
    <mergeCell ref="B26:F26"/>
    <mergeCell ref="B27:F27"/>
    <mergeCell ref="B28:F28"/>
    <mergeCell ref="B29:F29"/>
    <mergeCell ref="B30:F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2"/>
    <col collapsed="false" customWidth="true" hidden="false" outlineLevel="0" max="4" min="3" style="0" width="14"/>
    <col collapsed="false" customWidth="true" hidden="false" outlineLevel="0" max="8" min="5" style="0" width="8"/>
    <col collapsed="false" customWidth="true" hidden="false" outlineLevel="0" max="9" min="9" style="0" width="9"/>
    <col collapsed="false" customWidth="true" hidden="false" outlineLevel="0" max="11" min="10" style="0" width="11"/>
    <col collapsed="false" customWidth="true" hidden="false" outlineLevel="0" max="12" min="12" style="0" width="14"/>
    <col collapsed="false" customWidth="true" hidden="false" outlineLevel="0" max="13" min="13" style="0" width="38"/>
    <col collapsed="false" customWidth="true" hidden="false" outlineLevel="0" max="14" min="14" style="0" width="42"/>
  </cols>
  <sheetData>
    <row r="1" customFormat="false" ht="31.5" hidden="false" customHeight="true" outlineLevel="0" collapsed="false">
      <c r="A1" s="35" t="s">
        <v>45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</row>
    <row r="2" customFormat="false" ht="21.75" hidden="false" customHeight="true" outlineLevel="0" collapsed="false">
      <c r="A2" s="36" t="s">
        <v>46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</row>
    <row r="3" customFormat="false" ht="36" hidden="false" customHeight="true" outlineLevel="0" collapsed="false">
      <c r="A3" s="20" t="s">
        <v>47</v>
      </c>
      <c r="B3" s="20" t="s">
        <v>48</v>
      </c>
      <c r="C3" s="20" t="s">
        <v>22</v>
      </c>
      <c r="D3" s="20" t="s">
        <v>49</v>
      </c>
      <c r="E3" s="20" t="s">
        <v>50</v>
      </c>
      <c r="F3" s="20" t="s">
        <v>51</v>
      </c>
      <c r="G3" s="20" t="s">
        <v>52</v>
      </c>
      <c r="H3" s="20" t="s">
        <v>53</v>
      </c>
      <c r="I3" s="20" t="s">
        <v>54</v>
      </c>
      <c r="J3" s="20" t="s">
        <v>55</v>
      </c>
      <c r="K3" s="20" t="s">
        <v>56</v>
      </c>
      <c r="L3" s="20" t="s">
        <v>57</v>
      </c>
      <c r="M3" s="20" t="s">
        <v>58</v>
      </c>
      <c r="N3" s="20" t="s">
        <v>31</v>
      </c>
    </row>
    <row r="4" customFormat="false" ht="60" hidden="false" customHeight="true" outlineLevel="0" collapsed="false">
      <c r="A4" s="21" t="s">
        <v>59</v>
      </c>
      <c r="B4" s="37" t="s">
        <v>60</v>
      </c>
      <c r="C4" s="38" t="s">
        <v>12</v>
      </c>
      <c r="D4" s="39" t="s">
        <v>61</v>
      </c>
      <c r="E4" s="39" t="n">
        <v>5</v>
      </c>
      <c r="F4" s="39" t="n">
        <v>5</v>
      </c>
      <c r="G4" s="39" t="n">
        <v>4</v>
      </c>
      <c r="H4" s="39" t="n">
        <v>5</v>
      </c>
      <c r="I4" s="40" t="n">
        <v>4.75</v>
      </c>
      <c r="J4" s="33" t="s">
        <v>35</v>
      </c>
      <c r="K4" s="34" t="s">
        <v>42</v>
      </c>
      <c r="L4" s="41" t="s">
        <v>15</v>
      </c>
      <c r="M4" s="37" t="s">
        <v>62</v>
      </c>
      <c r="N4" s="37" t="s">
        <v>63</v>
      </c>
    </row>
    <row r="5" customFormat="false" ht="60" hidden="false" customHeight="true" outlineLevel="0" collapsed="false">
      <c r="A5" s="21" t="s">
        <v>64</v>
      </c>
      <c r="B5" s="37" t="s">
        <v>65</v>
      </c>
      <c r="C5" s="38" t="s">
        <v>12</v>
      </c>
      <c r="D5" s="39" t="s">
        <v>66</v>
      </c>
      <c r="E5" s="39" t="n">
        <v>5</v>
      </c>
      <c r="F5" s="39" t="n">
        <v>5</v>
      </c>
      <c r="G5" s="39" t="n">
        <v>4</v>
      </c>
      <c r="H5" s="39" t="n">
        <v>5</v>
      </c>
      <c r="I5" s="40" t="n">
        <v>4.75</v>
      </c>
      <c r="J5" s="33" t="s">
        <v>35</v>
      </c>
      <c r="K5" s="34" t="s">
        <v>42</v>
      </c>
      <c r="L5" s="41" t="s">
        <v>15</v>
      </c>
      <c r="M5" s="37" t="s">
        <v>67</v>
      </c>
      <c r="N5" s="37" t="s">
        <v>68</v>
      </c>
    </row>
    <row r="6" customFormat="false" ht="60" hidden="false" customHeight="true" outlineLevel="0" collapsed="false">
      <c r="A6" s="21" t="s">
        <v>69</v>
      </c>
      <c r="B6" s="37" t="s">
        <v>70</v>
      </c>
      <c r="C6" s="38" t="s">
        <v>12</v>
      </c>
      <c r="D6" s="39" t="s">
        <v>71</v>
      </c>
      <c r="E6" s="39" t="n">
        <v>5</v>
      </c>
      <c r="F6" s="39" t="n">
        <v>4</v>
      </c>
      <c r="G6" s="39" t="n">
        <v>3</v>
      </c>
      <c r="H6" s="39" t="n">
        <v>5</v>
      </c>
      <c r="I6" s="41" t="n">
        <v>4.25</v>
      </c>
      <c r="J6" s="33" t="s">
        <v>35</v>
      </c>
      <c r="K6" s="41" t="s">
        <v>72</v>
      </c>
      <c r="L6" s="41" t="s">
        <v>15</v>
      </c>
      <c r="M6" s="37" t="s">
        <v>73</v>
      </c>
      <c r="N6" s="37" t="s">
        <v>74</v>
      </c>
    </row>
    <row r="7" customFormat="false" ht="60" hidden="false" customHeight="true" outlineLevel="0" collapsed="false">
      <c r="A7" s="21" t="s">
        <v>75</v>
      </c>
      <c r="B7" s="37" t="s">
        <v>76</v>
      </c>
      <c r="C7" s="38" t="s">
        <v>12</v>
      </c>
      <c r="D7" s="39" t="s">
        <v>71</v>
      </c>
      <c r="E7" s="39" t="n">
        <v>3</v>
      </c>
      <c r="F7" s="39" t="n">
        <v>3</v>
      </c>
      <c r="G7" s="39" t="n">
        <v>3</v>
      </c>
      <c r="H7" s="39" t="n">
        <v>4</v>
      </c>
      <c r="I7" s="34" t="n">
        <v>3.25</v>
      </c>
      <c r="J7" s="34" t="s">
        <v>42</v>
      </c>
      <c r="K7" s="41" t="s">
        <v>72</v>
      </c>
      <c r="L7" s="34" t="s">
        <v>16</v>
      </c>
      <c r="M7" s="37" t="s">
        <v>77</v>
      </c>
      <c r="N7" s="37" t="s">
        <v>78</v>
      </c>
    </row>
    <row r="8" customFormat="false" ht="60" hidden="false" customHeight="true" outlineLevel="0" collapsed="false">
      <c r="A8" s="21" t="s">
        <v>79</v>
      </c>
      <c r="B8" s="37" t="s">
        <v>80</v>
      </c>
      <c r="C8" s="38" t="s">
        <v>12</v>
      </c>
      <c r="D8" s="39" t="s">
        <v>71</v>
      </c>
      <c r="E8" s="39" t="n">
        <v>4</v>
      </c>
      <c r="F8" s="39" t="n">
        <v>4</v>
      </c>
      <c r="G8" s="39" t="n">
        <v>3</v>
      </c>
      <c r="H8" s="39" t="n">
        <v>4</v>
      </c>
      <c r="I8" s="34" t="n">
        <v>3.75</v>
      </c>
      <c r="J8" s="34" t="s">
        <v>42</v>
      </c>
      <c r="K8" s="41" t="s">
        <v>72</v>
      </c>
      <c r="L8" s="41" t="s">
        <v>15</v>
      </c>
      <c r="M8" s="37" t="s">
        <v>81</v>
      </c>
      <c r="N8" s="37" t="s">
        <v>82</v>
      </c>
    </row>
    <row r="9" customFormat="false" ht="60" hidden="false" customHeight="true" outlineLevel="0" collapsed="false">
      <c r="A9" s="21" t="s">
        <v>83</v>
      </c>
      <c r="B9" s="37" t="s">
        <v>84</v>
      </c>
      <c r="C9" s="38" t="s">
        <v>12</v>
      </c>
      <c r="D9" s="39" t="s">
        <v>71</v>
      </c>
      <c r="E9" s="39" t="n">
        <v>3</v>
      </c>
      <c r="F9" s="39" t="n">
        <v>3</v>
      </c>
      <c r="G9" s="39" t="n">
        <v>2</v>
      </c>
      <c r="H9" s="39" t="n">
        <v>4</v>
      </c>
      <c r="I9" s="34" t="n">
        <v>3</v>
      </c>
      <c r="J9" s="34" t="s">
        <v>42</v>
      </c>
      <c r="K9" s="34" t="s">
        <v>42</v>
      </c>
      <c r="L9" s="34" t="s">
        <v>16</v>
      </c>
      <c r="M9" s="37" t="s">
        <v>85</v>
      </c>
      <c r="N9" s="37" t="s">
        <v>86</v>
      </c>
    </row>
    <row r="10" customFormat="false" ht="60" hidden="false" customHeight="true" outlineLevel="0" collapsed="false">
      <c r="A10" s="21" t="s">
        <v>87</v>
      </c>
      <c r="B10" s="37" t="s">
        <v>88</v>
      </c>
      <c r="C10" s="38" t="s">
        <v>12</v>
      </c>
      <c r="D10" s="39" t="s">
        <v>89</v>
      </c>
      <c r="E10" s="39" t="n">
        <v>5</v>
      </c>
      <c r="F10" s="39" t="n">
        <v>5</v>
      </c>
      <c r="G10" s="39" t="n">
        <v>4</v>
      </c>
      <c r="H10" s="39" t="n">
        <v>5</v>
      </c>
      <c r="I10" s="40" t="n">
        <v>4.75</v>
      </c>
      <c r="J10" s="33" t="s">
        <v>35</v>
      </c>
      <c r="K10" s="34" t="s">
        <v>42</v>
      </c>
      <c r="L10" s="41" t="s">
        <v>15</v>
      </c>
      <c r="M10" s="37" t="s">
        <v>90</v>
      </c>
      <c r="N10" s="37" t="s">
        <v>91</v>
      </c>
    </row>
    <row r="11" customFormat="false" ht="60" hidden="false" customHeight="true" outlineLevel="0" collapsed="false">
      <c r="A11" s="21" t="s">
        <v>92</v>
      </c>
      <c r="B11" s="37" t="s">
        <v>93</v>
      </c>
      <c r="C11" s="38" t="s">
        <v>12</v>
      </c>
      <c r="D11" s="39" t="s">
        <v>94</v>
      </c>
      <c r="E11" s="39" t="n">
        <v>5</v>
      </c>
      <c r="F11" s="39" t="n">
        <v>5</v>
      </c>
      <c r="G11" s="39" t="n">
        <v>4</v>
      </c>
      <c r="H11" s="39" t="n">
        <v>4</v>
      </c>
      <c r="I11" s="40" t="n">
        <v>4.5</v>
      </c>
      <c r="J11" s="33" t="s">
        <v>35</v>
      </c>
      <c r="K11" s="33" t="s">
        <v>35</v>
      </c>
      <c r="L11" s="41" t="s">
        <v>15</v>
      </c>
      <c r="M11" s="37" t="s">
        <v>95</v>
      </c>
      <c r="N11" s="37" t="s">
        <v>96</v>
      </c>
    </row>
    <row r="12" customFormat="false" ht="60" hidden="false" customHeight="true" outlineLevel="0" collapsed="false">
      <c r="A12" s="21" t="s">
        <v>97</v>
      </c>
      <c r="B12" s="37" t="s">
        <v>98</v>
      </c>
      <c r="C12" s="38" t="s">
        <v>12</v>
      </c>
      <c r="D12" s="39" t="s">
        <v>99</v>
      </c>
      <c r="E12" s="39" t="n">
        <v>4</v>
      </c>
      <c r="F12" s="39" t="n">
        <v>4</v>
      </c>
      <c r="G12" s="39" t="n">
        <v>3</v>
      </c>
      <c r="H12" s="39" t="n">
        <v>4</v>
      </c>
      <c r="I12" s="34" t="n">
        <v>3.75</v>
      </c>
      <c r="J12" s="33" t="s">
        <v>35</v>
      </c>
      <c r="K12" s="34" t="s">
        <v>42</v>
      </c>
      <c r="L12" s="34" t="s">
        <v>16</v>
      </c>
      <c r="M12" s="37" t="s">
        <v>100</v>
      </c>
      <c r="N12" s="37" t="s">
        <v>101</v>
      </c>
    </row>
    <row r="13" customFormat="false" ht="60" hidden="false" customHeight="true" outlineLevel="0" collapsed="false">
      <c r="A13" s="21" t="s">
        <v>102</v>
      </c>
      <c r="B13" s="37" t="s">
        <v>103</v>
      </c>
      <c r="C13" s="38" t="s">
        <v>12</v>
      </c>
      <c r="D13" s="39" t="s">
        <v>104</v>
      </c>
      <c r="E13" s="39" t="n">
        <v>5</v>
      </c>
      <c r="F13" s="39" t="n">
        <v>5</v>
      </c>
      <c r="G13" s="39" t="n">
        <v>4</v>
      </c>
      <c r="H13" s="39" t="n">
        <v>5</v>
      </c>
      <c r="I13" s="40" t="n">
        <v>4.75</v>
      </c>
      <c r="J13" s="33" t="s">
        <v>35</v>
      </c>
      <c r="K13" s="41" t="s">
        <v>72</v>
      </c>
      <c r="L13" s="41" t="s">
        <v>15</v>
      </c>
      <c r="M13" s="37" t="s">
        <v>105</v>
      </c>
      <c r="N13" s="37" t="s">
        <v>106</v>
      </c>
    </row>
    <row r="14" customFormat="false" ht="60" hidden="false" customHeight="true" outlineLevel="0" collapsed="false">
      <c r="A14" s="21" t="s">
        <v>107</v>
      </c>
      <c r="B14" s="37" t="s">
        <v>108</v>
      </c>
      <c r="C14" s="38" t="s">
        <v>12</v>
      </c>
      <c r="D14" s="39" t="s">
        <v>109</v>
      </c>
      <c r="E14" s="39" t="n">
        <v>5</v>
      </c>
      <c r="F14" s="39" t="n">
        <v>4</v>
      </c>
      <c r="G14" s="39" t="n">
        <v>3</v>
      </c>
      <c r="H14" s="39" t="n">
        <v>4</v>
      </c>
      <c r="I14" s="41" t="n">
        <v>4</v>
      </c>
      <c r="J14" s="33" t="s">
        <v>35</v>
      </c>
      <c r="K14" s="34" t="s">
        <v>42</v>
      </c>
      <c r="L14" s="34" t="s">
        <v>16</v>
      </c>
      <c r="M14" s="37" t="s">
        <v>110</v>
      </c>
      <c r="N14" s="37" t="s">
        <v>111</v>
      </c>
    </row>
    <row r="15" customFormat="false" ht="60" hidden="false" customHeight="true" outlineLevel="0" collapsed="false">
      <c r="A15" s="21" t="s">
        <v>112</v>
      </c>
      <c r="B15" s="37" t="s">
        <v>113</v>
      </c>
      <c r="C15" s="38" t="s">
        <v>12</v>
      </c>
      <c r="D15" s="39" t="s">
        <v>114</v>
      </c>
      <c r="E15" s="39" t="n">
        <v>4</v>
      </c>
      <c r="F15" s="39" t="n">
        <v>4</v>
      </c>
      <c r="G15" s="39" t="n">
        <v>3</v>
      </c>
      <c r="H15" s="39" t="n">
        <v>4</v>
      </c>
      <c r="I15" s="34" t="n">
        <v>3.75</v>
      </c>
      <c r="J15" s="34" t="s">
        <v>42</v>
      </c>
      <c r="K15" s="34" t="s">
        <v>42</v>
      </c>
      <c r="L15" s="34" t="s">
        <v>16</v>
      </c>
      <c r="M15" s="37" t="s">
        <v>115</v>
      </c>
      <c r="N15" s="37" t="s">
        <v>116</v>
      </c>
    </row>
    <row r="16" customFormat="false" ht="60" hidden="false" customHeight="true" outlineLevel="0" collapsed="false">
      <c r="A16" s="21" t="s">
        <v>117</v>
      </c>
      <c r="B16" s="37" t="s">
        <v>118</v>
      </c>
      <c r="C16" s="38" t="s">
        <v>12</v>
      </c>
      <c r="D16" s="39" t="s">
        <v>119</v>
      </c>
      <c r="E16" s="39" t="n">
        <v>4</v>
      </c>
      <c r="F16" s="39" t="n">
        <v>4</v>
      </c>
      <c r="G16" s="39" t="n">
        <v>3</v>
      </c>
      <c r="H16" s="39" t="n">
        <v>4</v>
      </c>
      <c r="I16" s="34" t="n">
        <v>3.75</v>
      </c>
      <c r="J16" s="33" t="s">
        <v>35</v>
      </c>
      <c r="K16" s="33" t="s">
        <v>35</v>
      </c>
      <c r="L16" s="34" t="s">
        <v>16</v>
      </c>
      <c r="M16" s="37" t="s">
        <v>120</v>
      </c>
      <c r="N16" s="37" t="s">
        <v>121</v>
      </c>
    </row>
    <row r="17" customFormat="false" ht="60" hidden="false" customHeight="true" outlineLevel="0" collapsed="false">
      <c r="A17" s="21" t="s">
        <v>122</v>
      </c>
      <c r="B17" s="37" t="s">
        <v>123</v>
      </c>
      <c r="C17" s="38" t="s">
        <v>12</v>
      </c>
      <c r="D17" s="39" t="s">
        <v>124</v>
      </c>
      <c r="E17" s="39" t="n">
        <v>5</v>
      </c>
      <c r="F17" s="39" t="n">
        <v>5</v>
      </c>
      <c r="G17" s="39" t="n">
        <v>4</v>
      </c>
      <c r="H17" s="39" t="n">
        <v>5</v>
      </c>
      <c r="I17" s="40" t="n">
        <v>4.75</v>
      </c>
      <c r="J17" s="33" t="s">
        <v>35</v>
      </c>
      <c r="K17" s="41" t="s">
        <v>72</v>
      </c>
      <c r="L17" s="41" t="s">
        <v>15</v>
      </c>
      <c r="M17" s="37" t="s">
        <v>125</v>
      </c>
      <c r="N17" s="37" t="s">
        <v>126</v>
      </c>
    </row>
    <row r="18" customFormat="false" ht="60" hidden="false" customHeight="true" outlineLevel="0" collapsed="false">
      <c r="A18" s="21" t="s">
        <v>127</v>
      </c>
      <c r="B18" s="37" t="s">
        <v>128</v>
      </c>
      <c r="C18" s="38" t="s">
        <v>12</v>
      </c>
      <c r="D18" s="39" t="s">
        <v>129</v>
      </c>
      <c r="E18" s="39" t="n">
        <v>5</v>
      </c>
      <c r="F18" s="39" t="n">
        <v>5</v>
      </c>
      <c r="G18" s="39" t="n">
        <v>4</v>
      </c>
      <c r="H18" s="39" t="n">
        <v>5</v>
      </c>
      <c r="I18" s="40" t="n">
        <v>4.75</v>
      </c>
      <c r="J18" s="33" t="s">
        <v>35</v>
      </c>
      <c r="K18" s="41" t="s">
        <v>72</v>
      </c>
      <c r="L18" s="41" t="s">
        <v>15</v>
      </c>
      <c r="M18" s="37" t="s">
        <v>130</v>
      </c>
      <c r="N18" s="37" t="s">
        <v>131</v>
      </c>
    </row>
    <row r="19" customFormat="false" ht="60" hidden="false" customHeight="true" outlineLevel="0" collapsed="false">
      <c r="A19" s="21" t="s">
        <v>132</v>
      </c>
      <c r="B19" s="37" t="s">
        <v>133</v>
      </c>
      <c r="C19" s="38" t="s">
        <v>12</v>
      </c>
      <c r="D19" s="39" t="s">
        <v>134</v>
      </c>
      <c r="E19" s="39" t="n">
        <v>5</v>
      </c>
      <c r="F19" s="39" t="n">
        <v>5</v>
      </c>
      <c r="G19" s="39" t="n">
        <v>4</v>
      </c>
      <c r="H19" s="39" t="n">
        <v>5</v>
      </c>
      <c r="I19" s="40" t="n">
        <v>4.75</v>
      </c>
      <c r="J19" s="33" t="s">
        <v>35</v>
      </c>
      <c r="K19" s="41" t="s">
        <v>72</v>
      </c>
      <c r="L19" s="41" t="s">
        <v>15</v>
      </c>
      <c r="M19" s="37" t="s">
        <v>135</v>
      </c>
      <c r="N19" s="37" t="s">
        <v>136</v>
      </c>
    </row>
    <row r="20" customFormat="false" ht="60" hidden="false" customHeight="true" outlineLevel="0" collapsed="false">
      <c r="A20" s="21" t="s">
        <v>137</v>
      </c>
      <c r="B20" s="37" t="s">
        <v>138</v>
      </c>
      <c r="C20" s="38" t="s">
        <v>12</v>
      </c>
      <c r="D20" s="39" t="s">
        <v>139</v>
      </c>
      <c r="E20" s="39" t="n">
        <v>5</v>
      </c>
      <c r="F20" s="39" t="n">
        <v>5</v>
      </c>
      <c r="G20" s="39" t="n">
        <v>4</v>
      </c>
      <c r="H20" s="39" t="n">
        <v>5</v>
      </c>
      <c r="I20" s="40" t="n">
        <v>4.75</v>
      </c>
      <c r="J20" s="33" t="s">
        <v>35</v>
      </c>
      <c r="K20" s="41" t="s">
        <v>72</v>
      </c>
      <c r="L20" s="41" t="s">
        <v>15</v>
      </c>
      <c r="M20" s="37" t="s">
        <v>140</v>
      </c>
      <c r="N20" s="37" t="s">
        <v>141</v>
      </c>
    </row>
    <row r="21" customFormat="false" ht="60" hidden="false" customHeight="true" outlineLevel="0" collapsed="false">
      <c r="A21" s="21" t="s">
        <v>142</v>
      </c>
      <c r="B21" s="37" t="s">
        <v>143</v>
      </c>
      <c r="C21" s="38" t="s">
        <v>12</v>
      </c>
      <c r="D21" s="39" t="s">
        <v>144</v>
      </c>
      <c r="E21" s="39" t="n">
        <v>5</v>
      </c>
      <c r="F21" s="39" t="n">
        <v>5</v>
      </c>
      <c r="G21" s="39" t="n">
        <v>4</v>
      </c>
      <c r="H21" s="39" t="n">
        <v>4</v>
      </c>
      <c r="I21" s="40" t="n">
        <v>4.5</v>
      </c>
      <c r="J21" s="33" t="s">
        <v>35</v>
      </c>
      <c r="K21" s="33" t="s">
        <v>35</v>
      </c>
      <c r="L21" s="34" t="s">
        <v>16</v>
      </c>
      <c r="M21" s="37" t="s">
        <v>145</v>
      </c>
      <c r="N21" s="37" t="s">
        <v>146</v>
      </c>
    </row>
    <row r="22" customFormat="false" ht="60" hidden="false" customHeight="true" outlineLevel="0" collapsed="false">
      <c r="A22" s="21" t="s">
        <v>147</v>
      </c>
      <c r="B22" s="37" t="s">
        <v>148</v>
      </c>
      <c r="C22" s="38" t="s">
        <v>12</v>
      </c>
      <c r="D22" s="39" t="s">
        <v>139</v>
      </c>
      <c r="E22" s="39" t="n">
        <v>2</v>
      </c>
      <c r="F22" s="39" t="n">
        <v>2</v>
      </c>
      <c r="G22" s="39" t="n">
        <v>2</v>
      </c>
      <c r="H22" s="39" t="n">
        <v>3</v>
      </c>
      <c r="I22" s="33" t="n">
        <v>2.25</v>
      </c>
      <c r="J22" s="34" t="s">
        <v>42</v>
      </c>
      <c r="K22" s="33" t="s">
        <v>35</v>
      </c>
      <c r="L22" s="33" t="s">
        <v>17</v>
      </c>
      <c r="M22" s="37" t="s">
        <v>149</v>
      </c>
      <c r="N22" s="37" t="s">
        <v>150</v>
      </c>
    </row>
    <row r="23" customFormat="false" ht="60" hidden="false" customHeight="true" outlineLevel="0" collapsed="false">
      <c r="A23" s="21" t="s">
        <v>151</v>
      </c>
      <c r="B23" s="37" t="s">
        <v>152</v>
      </c>
      <c r="C23" s="38" t="s">
        <v>12</v>
      </c>
      <c r="D23" s="39" t="s">
        <v>153</v>
      </c>
      <c r="E23" s="39" t="n">
        <v>4</v>
      </c>
      <c r="F23" s="39" t="n">
        <v>4</v>
      </c>
      <c r="G23" s="39" t="n">
        <v>3</v>
      </c>
      <c r="H23" s="39" t="n">
        <v>5</v>
      </c>
      <c r="I23" s="41" t="n">
        <v>4</v>
      </c>
      <c r="J23" s="33" t="s">
        <v>35</v>
      </c>
      <c r="K23" s="41" t="s">
        <v>72</v>
      </c>
      <c r="L23" s="41" t="s">
        <v>15</v>
      </c>
      <c r="M23" s="37" t="s">
        <v>154</v>
      </c>
      <c r="N23" s="37" t="s">
        <v>155</v>
      </c>
    </row>
    <row r="24" customFormat="false" ht="60" hidden="false" customHeight="true" outlineLevel="0" collapsed="false">
      <c r="A24" s="21" t="s">
        <v>156</v>
      </c>
      <c r="B24" s="37" t="s">
        <v>157</v>
      </c>
      <c r="C24" s="38" t="s">
        <v>12</v>
      </c>
      <c r="D24" s="39" t="s">
        <v>153</v>
      </c>
      <c r="E24" s="39" t="n">
        <v>3</v>
      </c>
      <c r="F24" s="39" t="n">
        <v>3</v>
      </c>
      <c r="G24" s="39" t="n">
        <v>2</v>
      </c>
      <c r="H24" s="39" t="n">
        <v>3</v>
      </c>
      <c r="I24" s="33" t="n">
        <v>2.75</v>
      </c>
      <c r="J24" s="34" t="s">
        <v>42</v>
      </c>
      <c r="K24" s="33" t="s">
        <v>35</v>
      </c>
      <c r="L24" s="34" t="s">
        <v>16</v>
      </c>
      <c r="M24" s="37" t="s">
        <v>158</v>
      </c>
      <c r="N24" s="37" t="s">
        <v>159</v>
      </c>
    </row>
    <row r="25" customFormat="false" ht="60" hidden="false" customHeight="true" outlineLevel="0" collapsed="false">
      <c r="A25" s="21" t="s">
        <v>160</v>
      </c>
      <c r="B25" s="37" t="s">
        <v>161</v>
      </c>
      <c r="C25" s="38" t="s">
        <v>12</v>
      </c>
      <c r="D25" s="39" t="s">
        <v>153</v>
      </c>
      <c r="E25" s="39" t="n">
        <v>3</v>
      </c>
      <c r="F25" s="39" t="n">
        <v>3</v>
      </c>
      <c r="G25" s="39" t="n">
        <v>3</v>
      </c>
      <c r="H25" s="39" t="n">
        <v>4</v>
      </c>
      <c r="I25" s="34" t="n">
        <v>3.25</v>
      </c>
      <c r="J25" s="34" t="s">
        <v>42</v>
      </c>
      <c r="K25" s="34" t="s">
        <v>42</v>
      </c>
      <c r="L25" s="34" t="s">
        <v>16</v>
      </c>
      <c r="M25" s="37" t="s">
        <v>162</v>
      </c>
      <c r="N25" s="37" t="s">
        <v>163</v>
      </c>
    </row>
    <row r="26" customFormat="false" ht="60" hidden="false" customHeight="true" outlineLevel="0" collapsed="false">
      <c r="A26" s="21" t="s">
        <v>164</v>
      </c>
      <c r="B26" s="37" t="s">
        <v>165</v>
      </c>
      <c r="C26" s="38" t="s">
        <v>12</v>
      </c>
      <c r="D26" s="39" t="s">
        <v>153</v>
      </c>
      <c r="E26" s="39" t="n">
        <v>4</v>
      </c>
      <c r="F26" s="39" t="n">
        <v>3</v>
      </c>
      <c r="G26" s="39" t="n">
        <v>3</v>
      </c>
      <c r="H26" s="39" t="n">
        <v>4</v>
      </c>
      <c r="I26" s="34" t="n">
        <v>3.5</v>
      </c>
      <c r="J26" s="33" t="s">
        <v>35</v>
      </c>
      <c r="K26" s="34" t="s">
        <v>42</v>
      </c>
      <c r="L26" s="34" t="s">
        <v>16</v>
      </c>
      <c r="M26" s="37" t="s">
        <v>166</v>
      </c>
      <c r="N26" s="37" t="s">
        <v>167</v>
      </c>
    </row>
    <row r="27" customFormat="false" ht="60" hidden="false" customHeight="true" outlineLevel="0" collapsed="false">
      <c r="A27" s="21" t="s">
        <v>168</v>
      </c>
      <c r="B27" s="37" t="s">
        <v>169</v>
      </c>
      <c r="C27" s="38" t="s">
        <v>12</v>
      </c>
      <c r="D27" s="39" t="s">
        <v>153</v>
      </c>
      <c r="E27" s="39" t="n">
        <v>2</v>
      </c>
      <c r="F27" s="39" t="n">
        <v>2</v>
      </c>
      <c r="G27" s="39" t="n">
        <v>2</v>
      </c>
      <c r="H27" s="39" t="n">
        <v>3</v>
      </c>
      <c r="I27" s="33" t="n">
        <v>2.25</v>
      </c>
      <c r="J27" s="42" t="s">
        <v>72</v>
      </c>
      <c r="K27" s="41" t="s">
        <v>72</v>
      </c>
      <c r="L27" s="33" t="s">
        <v>17</v>
      </c>
      <c r="M27" s="37" t="s">
        <v>170</v>
      </c>
      <c r="N27" s="37" t="s">
        <v>171</v>
      </c>
    </row>
    <row r="28" customFormat="false" ht="60" hidden="false" customHeight="true" outlineLevel="0" collapsed="false">
      <c r="A28" s="21" t="s">
        <v>172</v>
      </c>
      <c r="B28" s="37" t="s">
        <v>173</v>
      </c>
      <c r="C28" s="38" t="s">
        <v>12</v>
      </c>
      <c r="D28" s="39" t="s">
        <v>153</v>
      </c>
      <c r="E28" s="39" t="n">
        <v>5</v>
      </c>
      <c r="F28" s="39" t="n">
        <v>5</v>
      </c>
      <c r="G28" s="39" t="n">
        <v>4</v>
      </c>
      <c r="H28" s="39" t="n">
        <v>5</v>
      </c>
      <c r="I28" s="40" t="n">
        <v>4.75</v>
      </c>
      <c r="J28" s="34" t="s">
        <v>42</v>
      </c>
      <c r="K28" s="41" t="s">
        <v>72</v>
      </c>
      <c r="L28" s="41" t="s">
        <v>15</v>
      </c>
      <c r="M28" s="37" t="s">
        <v>174</v>
      </c>
      <c r="N28" s="37" t="s">
        <v>175</v>
      </c>
    </row>
    <row r="29" customFormat="false" ht="60" hidden="false" customHeight="true" outlineLevel="0" collapsed="false">
      <c r="A29" s="24" t="s">
        <v>176</v>
      </c>
      <c r="B29" s="37" t="s">
        <v>177</v>
      </c>
      <c r="C29" s="43" t="s">
        <v>13</v>
      </c>
      <c r="D29" s="39" t="s">
        <v>61</v>
      </c>
      <c r="E29" s="39" t="n">
        <v>5</v>
      </c>
      <c r="F29" s="39" t="n">
        <v>5</v>
      </c>
      <c r="G29" s="39" t="n">
        <v>4</v>
      </c>
      <c r="H29" s="39" t="n">
        <v>5</v>
      </c>
      <c r="I29" s="40" t="n">
        <v>4.75</v>
      </c>
      <c r="J29" s="33" t="s">
        <v>35</v>
      </c>
      <c r="K29" s="34" t="s">
        <v>42</v>
      </c>
      <c r="L29" s="41" t="s">
        <v>15</v>
      </c>
      <c r="M29" s="37" t="s">
        <v>178</v>
      </c>
      <c r="N29" s="37" t="s">
        <v>179</v>
      </c>
    </row>
    <row r="30" customFormat="false" ht="60" hidden="false" customHeight="true" outlineLevel="0" collapsed="false">
      <c r="A30" s="24" t="s">
        <v>180</v>
      </c>
      <c r="B30" s="37" t="s">
        <v>181</v>
      </c>
      <c r="C30" s="43" t="s">
        <v>13</v>
      </c>
      <c r="D30" s="39" t="s">
        <v>182</v>
      </c>
      <c r="E30" s="39" t="n">
        <v>4</v>
      </c>
      <c r="F30" s="39" t="n">
        <v>4</v>
      </c>
      <c r="G30" s="39" t="n">
        <v>3</v>
      </c>
      <c r="H30" s="39" t="n">
        <v>4</v>
      </c>
      <c r="I30" s="34" t="n">
        <v>3.75</v>
      </c>
      <c r="J30" s="33" t="s">
        <v>35</v>
      </c>
      <c r="K30" s="33" t="s">
        <v>35</v>
      </c>
      <c r="L30" s="34" t="s">
        <v>16</v>
      </c>
      <c r="M30" s="37" t="s">
        <v>183</v>
      </c>
      <c r="N30" s="37" t="s">
        <v>184</v>
      </c>
    </row>
    <row r="31" customFormat="false" ht="60" hidden="false" customHeight="true" outlineLevel="0" collapsed="false">
      <c r="A31" s="24" t="s">
        <v>185</v>
      </c>
      <c r="B31" s="37" t="s">
        <v>65</v>
      </c>
      <c r="C31" s="43" t="s">
        <v>13</v>
      </c>
      <c r="D31" s="39" t="s">
        <v>66</v>
      </c>
      <c r="E31" s="39" t="n">
        <v>5</v>
      </c>
      <c r="F31" s="39" t="n">
        <v>5</v>
      </c>
      <c r="G31" s="39" t="n">
        <v>4</v>
      </c>
      <c r="H31" s="39" t="n">
        <v>5</v>
      </c>
      <c r="I31" s="40" t="n">
        <v>4.75</v>
      </c>
      <c r="J31" s="33" t="s">
        <v>35</v>
      </c>
      <c r="K31" s="34" t="s">
        <v>42</v>
      </c>
      <c r="L31" s="41" t="s">
        <v>15</v>
      </c>
      <c r="M31" s="37" t="s">
        <v>186</v>
      </c>
      <c r="N31" s="37" t="s">
        <v>187</v>
      </c>
    </row>
    <row r="32" customFormat="false" ht="60" hidden="false" customHeight="true" outlineLevel="0" collapsed="false">
      <c r="A32" s="24" t="s">
        <v>188</v>
      </c>
      <c r="B32" s="37" t="s">
        <v>189</v>
      </c>
      <c r="C32" s="43" t="s">
        <v>13</v>
      </c>
      <c r="D32" s="39" t="s">
        <v>190</v>
      </c>
      <c r="E32" s="39" t="n">
        <v>5</v>
      </c>
      <c r="F32" s="39" t="n">
        <v>5</v>
      </c>
      <c r="G32" s="39" t="n">
        <v>4</v>
      </c>
      <c r="H32" s="39" t="n">
        <v>5</v>
      </c>
      <c r="I32" s="40" t="n">
        <v>4.75</v>
      </c>
      <c r="J32" s="33" t="s">
        <v>35</v>
      </c>
      <c r="K32" s="41" t="s">
        <v>72</v>
      </c>
      <c r="L32" s="41" t="s">
        <v>15</v>
      </c>
      <c r="M32" s="37" t="s">
        <v>191</v>
      </c>
      <c r="N32" s="37" t="s">
        <v>192</v>
      </c>
    </row>
    <row r="33" customFormat="false" ht="60" hidden="false" customHeight="true" outlineLevel="0" collapsed="false">
      <c r="A33" s="24" t="s">
        <v>193</v>
      </c>
      <c r="B33" s="37" t="s">
        <v>194</v>
      </c>
      <c r="C33" s="43" t="s">
        <v>13</v>
      </c>
      <c r="D33" s="39" t="s">
        <v>190</v>
      </c>
      <c r="E33" s="39" t="n">
        <v>4</v>
      </c>
      <c r="F33" s="39" t="n">
        <v>4</v>
      </c>
      <c r="G33" s="39" t="n">
        <v>3</v>
      </c>
      <c r="H33" s="39" t="n">
        <v>4</v>
      </c>
      <c r="I33" s="34" t="n">
        <v>3.75</v>
      </c>
      <c r="J33" s="33" t="s">
        <v>35</v>
      </c>
      <c r="K33" s="34" t="s">
        <v>42</v>
      </c>
      <c r="L33" s="34" t="s">
        <v>16</v>
      </c>
      <c r="M33" s="37" t="s">
        <v>195</v>
      </c>
      <c r="N33" s="37" t="s">
        <v>196</v>
      </c>
    </row>
    <row r="34" customFormat="false" ht="60" hidden="false" customHeight="true" outlineLevel="0" collapsed="false">
      <c r="A34" s="24" t="s">
        <v>197</v>
      </c>
      <c r="B34" s="37" t="s">
        <v>198</v>
      </c>
      <c r="C34" s="43" t="s">
        <v>13</v>
      </c>
      <c r="D34" s="39" t="s">
        <v>190</v>
      </c>
      <c r="E34" s="39" t="n">
        <v>5</v>
      </c>
      <c r="F34" s="39" t="n">
        <v>5</v>
      </c>
      <c r="G34" s="39" t="n">
        <v>4</v>
      </c>
      <c r="H34" s="39" t="n">
        <v>5</v>
      </c>
      <c r="I34" s="40" t="n">
        <v>4.75</v>
      </c>
      <c r="J34" s="33" t="s">
        <v>35</v>
      </c>
      <c r="K34" s="34" t="s">
        <v>42</v>
      </c>
      <c r="L34" s="41" t="s">
        <v>15</v>
      </c>
      <c r="M34" s="37" t="s">
        <v>199</v>
      </c>
      <c r="N34" s="37" t="s">
        <v>200</v>
      </c>
    </row>
    <row r="35" customFormat="false" ht="60" hidden="false" customHeight="true" outlineLevel="0" collapsed="false">
      <c r="A35" s="24" t="s">
        <v>201</v>
      </c>
      <c r="B35" s="37" t="s">
        <v>202</v>
      </c>
      <c r="C35" s="43" t="s">
        <v>13</v>
      </c>
      <c r="D35" s="39" t="s">
        <v>190</v>
      </c>
      <c r="E35" s="39" t="n">
        <v>4</v>
      </c>
      <c r="F35" s="39" t="n">
        <v>4</v>
      </c>
      <c r="G35" s="39" t="n">
        <v>3</v>
      </c>
      <c r="H35" s="39" t="n">
        <v>5</v>
      </c>
      <c r="I35" s="41" t="n">
        <v>4</v>
      </c>
      <c r="J35" s="34" t="s">
        <v>42</v>
      </c>
      <c r="K35" s="34" t="s">
        <v>42</v>
      </c>
      <c r="L35" s="34" t="s">
        <v>16</v>
      </c>
      <c r="M35" s="37" t="s">
        <v>203</v>
      </c>
      <c r="N35" s="37" t="s">
        <v>204</v>
      </c>
    </row>
    <row r="36" customFormat="false" ht="60" hidden="false" customHeight="true" outlineLevel="0" collapsed="false">
      <c r="A36" s="24" t="s">
        <v>205</v>
      </c>
      <c r="B36" s="37" t="s">
        <v>206</v>
      </c>
      <c r="C36" s="43" t="s">
        <v>13</v>
      </c>
      <c r="D36" s="39" t="s">
        <v>190</v>
      </c>
      <c r="E36" s="39" t="n">
        <v>5</v>
      </c>
      <c r="F36" s="39" t="n">
        <v>5</v>
      </c>
      <c r="G36" s="39" t="n">
        <v>4</v>
      </c>
      <c r="H36" s="39" t="n">
        <v>5</v>
      </c>
      <c r="I36" s="40" t="n">
        <v>4.75</v>
      </c>
      <c r="J36" s="33" t="s">
        <v>35</v>
      </c>
      <c r="K36" s="41" t="s">
        <v>72</v>
      </c>
      <c r="L36" s="41" t="s">
        <v>15</v>
      </c>
      <c r="M36" s="37" t="s">
        <v>207</v>
      </c>
      <c r="N36" s="37" t="s">
        <v>208</v>
      </c>
    </row>
    <row r="37" customFormat="false" ht="60" hidden="false" customHeight="true" outlineLevel="0" collapsed="false">
      <c r="A37" s="24" t="s">
        <v>209</v>
      </c>
      <c r="B37" s="37" t="s">
        <v>210</v>
      </c>
      <c r="C37" s="43" t="s">
        <v>13</v>
      </c>
      <c r="D37" s="39" t="s">
        <v>190</v>
      </c>
      <c r="E37" s="39" t="n">
        <v>4</v>
      </c>
      <c r="F37" s="39" t="n">
        <v>4</v>
      </c>
      <c r="G37" s="39" t="n">
        <v>4</v>
      </c>
      <c r="H37" s="39" t="n">
        <v>4</v>
      </c>
      <c r="I37" s="41" t="n">
        <v>4</v>
      </c>
      <c r="J37" s="33" t="s">
        <v>35</v>
      </c>
      <c r="K37" s="33" t="s">
        <v>35</v>
      </c>
      <c r="L37" s="34" t="s">
        <v>16</v>
      </c>
      <c r="M37" s="37" t="s">
        <v>211</v>
      </c>
      <c r="N37" s="37" t="s">
        <v>212</v>
      </c>
    </row>
    <row r="38" customFormat="false" ht="60" hidden="false" customHeight="true" outlineLevel="0" collapsed="false">
      <c r="A38" s="24" t="s">
        <v>213</v>
      </c>
      <c r="B38" s="37" t="s">
        <v>214</v>
      </c>
      <c r="C38" s="43" t="s">
        <v>13</v>
      </c>
      <c r="D38" s="39" t="s">
        <v>215</v>
      </c>
      <c r="E38" s="39" t="n">
        <v>3</v>
      </c>
      <c r="F38" s="39" t="n">
        <v>3</v>
      </c>
      <c r="G38" s="39" t="n">
        <v>2</v>
      </c>
      <c r="H38" s="39" t="n">
        <v>4</v>
      </c>
      <c r="I38" s="34" t="n">
        <v>3</v>
      </c>
      <c r="J38" s="34" t="s">
        <v>42</v>
      </c>
      <c r="K38" s="41" t="s">
        <v>72</v>
      </c>
      <c r="L38" s="34" t="s">
        <v>16</v>
      </c>
      <c r="M38" s="37" t="s">
        <v>216</v>
      </c>
      <c r="N38" s="37" t="s">
        <v>217</v>
      </c>
    </row>
    <row r="39" customFormat="false" ht="60" hidden="false" customHeight="true" outlineLevel="0" collapsed="false">
      <c r="A39" s="24" t="s">
        <v>218</v>
      </c>
      <c r="B39" s="37" t="s">
        <v>219</v>
      </c>
      <c r="C39" s="43" t="s">
        <v>13</v>
      </c>
      <c r="D39" s="39" t="s">
        <v>109</v>
      </c>
      <c r="E39" s="39" t="n">
        <v>5</v>
      </c>
      <c r="F39" s="39" t="n">
        <v>5</v>
      </c>
      <c r="G39" s="39" t="n">
        <v>4</v>
      </c>
      <c r="H39" s="39" t="n">
        <v>5</v>
      </c>
      <c r="I39" s="40" t="n">
        <v>4.75</v>
      </c>
      <c r="J39" s="33" t="s">
        <v>35</v>
      </c>
      <c r="K39" s="34" t="s">
        <v>42</v>
      </c>
      <c r="L39" s="41" t="s">
        <v>15</v>
      </c>
      <c r="M39" s="37" t="s">
        <v>220</v>
      </c>
      <c r="N39" s="37" t="s">
        <v>221</v>
      </c>
    </row>
    <row r="40" customFormat="false" ht="60" hidden="false" customHeight="true" outlineLevel="0" collapsed="false">
      <c r="A40" s="24" t="s">
        <v>222</v>
      </c>
      <c r="B40" s="37" t="s">
        <v>223</v>
      </c>
      <c r="C40" s="43" t="s">
        <v>13</v>
      </c>
      <c r="D40" s="39" t="s">
        <v>224</v>
      </c>
      <c r="E40" s="39" t="n">
        <v>5</v>
      </c>
      <c r="F40" s="39" t="n">
        <v>5</v>
      </c>
      <c r="G40" s="39" t="n">
        <v>4</v>
      </c>
      <c r="H40" s="39" t="n">
        <v>5</v>
      </c>
      <c r="I40" s="40" t="n">
        <v>4.75</v>
      </c>
      <c r="J40" s="33" t="s">
        <v>35</v>
      </c>
      <c r="K40" s="41" t="s">
        <v>72</v>
      </c>
      <c r="L40" s="41" t="s">
        <v>15</v>
      </c>
      <c r="M40" s="37" t="s">
        <v>225</v>
      </c>
      <c r="N40" s="37" t="s">
        <v>226</v>
      </c>
    </row>
    <row r="41" customFormat="false" ht="60" hidden="false" customHeight="true" outlineLevel="0" collapsed="false">
      <c r="A41" s="24" t="s">
        <v>227</v>
      </c>
      <c r="B41" s="37" t="s">
        <v>228</v>
      </c>
      <c r="C41" s="43" t="s">
        <v>13</v>
      </c>
      <c r="D41" s="39" t="s">
        <v>224</v>
      </c>
      <c r="E41" s="39" t="n">
        <v>4</v>
      </c>
      <c r="F41" s="39" t="n">
        <v>4</v>
      </c>
      <c r="G41" s="39" t="n">
        <v>3</v>
      </c>
      <c r="H41" s="39" t="n">
        <v>4</v>
      </c>
      <c r="I41" s="34" t="n">
        <v>3.75</v>
      </c>
      <c r="J41" s="33" t="s">
        <v>35</v>
      </c>
      <c r="K41" s="33" t="s">
        <v>35</v>
      </c>
      <c r="L41" s="34" t="s">
        <v>16</v>
      </c>
      <c r="M41" s="37" t="s">
        <v>229</v>
      </c>
      <c r="N41" s="37" t="s">
        <v>230</v>
      </c>
    </row>
    <row r="42" customFormat="false" ht="60" hidden="false" customHeight="true" outlineLevel="0" collapsed="false">
      <c r="A42" s="24" t="s">
        <v>231</v>
      </c>
      <c r="B42" s="37" t="s">
        <v>232</v>
      </c>
      <c r="C42" s="43" t="s">
        <v>13</v>
      </c>
      <c r="D42" s="39" t="s">
        <v>215</v>
      </c>
      <c r="E42" s="39" t="n">
        <v>3</v>
      </c>
      <c r="F42" s="39" t="n">
        <v>3</v>
      </c>
      <c r="G42" s="39" t="n">
        <v>2</v>
      </c>
      <c r="H42" s="39" t="n">
        <v>4</v>
      </c>
      <c r="I42" s="34" t="n">
        <v>3</v>
      </c>
      <c r="J42" s="34" t="s">
        <v>42</v>
      </c>
      <c r="K42" s="41" t="s">
        <v>72</v>
      </c>
      <c r="L42" s="34" t="s">
        <v>16</v>
      </c>
      <c r="M42" s="37" t="s">
        <v>233</v>
      </c>
      <c r="N42" s="37" t="s">
        <v>234</v>
      </c>
    </row>
    <row r="43" customFormat="false" ht="60" hidden="false" customHeight="true" outlineLevel="0" collapsed="false">
      <c r="A43" s="27" t="s">
        <v>235</v>
      </c>
      <c r="B43" s="37" t="s">
        <v>236</v>
      </c>
      <c r="C43" s="44" t="s">
        <v>14</v>
      </c>
      <c r="D43" s="39" t="s">
        <v>237</v>
      </c>
      <c r="E43" s="39" t="n">
        <v>5</v>
      </c>
      <c r="F43" s="39" t="n">
        <v>5</v>
      </c>
      <c r="G43" s="39" t="n">
        <v>4</v>
      </c>
      <c r="H43" s="39" t="n">
        <v>5</v>
      </c>
      <c r="I43" s="40" t="n">
        <v>4.75</v>
      </c>
      <c r="J43" s="33" t="s">
        <v>35</v>
      </c>
      <c r="K43" s="41" t="s">
        <v>72</v>
      </c>
      <c r="L43" s="41" t="s">
        <v>15</v>
      </c>
      <c r="M43" s="37" t="s">
        <v>238</v>
      </c>
      <c r="N43" s="37" t="s">
        <v>239</v>
      </c>
    </row>
    <row r="44" customFormat="false" ht="60" hidden="false" customHeight="true" outlineLevel="0" collapsed="false">
      <c r="A44" s="27" t="s">
        <v>240</v>
      </c>
      <c r="B44" s="37" t="s">
        <v>241</v>
      </c>
      <c r="C44" s="44" t="s">
        <v>14</v>
      </c>
      <c r="D44" s="39" t="s">
        <v>242</v>
      </c>
      <c r="E44" s="39" t="n">
        <v>4</v>
      </c>
      <c r="F44" s="39" t="n">
        <v>4</v>
      </c>
      <c r="G44" s="39" t="n">
        <v>3</v>
      </c>
      <c r="H44" s="39" t="n">
        <v>4</v>
      </c>
      <c r="I44" s="34" t="n">
        <v>3.75</v>
      </c>
      <c r="J44" s="33" t="s">
        <v>35</v>
      </c>
      <c r="K44" s="34" t="s">
        <v>42</v>
      </c>
      <c r="L44" s="34" t="s">
        <v>16</v>
      </c>
      <c r="M44" s="37" t="s">
        <v>243</v>
      </c>
      <c r="N44" s="37" t="s">
        <v>244</v>
      </c>
    </row>
    <row r="45" customFormat="false" ht="60" hidden="false" customHeight="true" outlineLevel="0" collapsed="false">
      <c r="A45" s="27" t="s">
        <v>245</v>
      </c>
      <c r="B45" s="37" t="s">
        <v>246</v>
      </c>
      <c r="C45" s="44" t="s">
        <v>14</v>
      </c>
      <c r="D45" s="39" t="s">
        <v>237</v>
      </c>
      <c r="E45" s="39" t="n">
        <v>4</v>
      </c>
      <c r="F45" s="39" t="n">
        <v>4</v>
      </c>
      <c r="G45" s="39" t="n">
        <v>4</v>
      </c>
      <c r="H45" s="39" t="n">
        <v>4</v>
      </c>
      <c r="I45" s="41" t="n">
        <v>4</v>
      </c>
      <c r="J45" s="33" t="s">
        <v>35</v>
      </c>
      <c r="K45" s="33" t="s">
        <v>35</v>
      </c>
      <c r="L45" s="34" t="s">
        <v>16</v>
      </c>
      <c r="M45" s="37" t="s">
        <v>247</v>
      </c>
      <c r="N45" s="37" t="s">
        <v>248</v>
      </c>
    </row>
    <row r="46" customFormat="false" ht="60" hidden="false" customHeight="true" outlineLevel="0" collapsed="false">
      <c r="A46" s="27" t="s">
        <v>249</v>
      </c>
      <c r="B46" s="37" t="s">
        <v>250</v>
      </c>
      <c r="C46" s="44" t="s">
        <v>14</v>
      </c>
      <c r="D46" s="39" t="s">
        <v>242</v>
      </c>
      <c r="E46" s="39" t="n">
        <v>3</v>
      </c>
      <c r="F46" s="39" t="n">
        <v>3</v>
      </c>
      <c r="G46" s="39" t="n">
        <v>3</v>
      </c>
      <c r="H46" s="39" t="n">
        <v>4</v>
      </c>
      <c r="I46" s="34" t="n">
        <v>3.25</v>
      </c>
      <c r="J46" s="33" t="s">
        <v>35</v>
      </c>
      <c r="K46" s="33" t="s">
        <v>35</v>
      </c>
      <c r="L46" s="33" t="s">
        <v>17</v>
      </c>
      <c r="M46" s="37" t="s">
        <v>251</v>
      </c>
      <c r="N46" s="37" t="s">
        <v>252</v>
      </c>
    </row>
    <row r="47" customFormat="false" ht="60" hidden="false" customHeight="true" outlineLevel="0" collapsed="false">
      <c r="A47" s="27" t="s">
        <v>253</v>
      </c>
      <c r="B47" s="37" t="s">
        <v>254</v>
      </c>
      <c r="C47" s="44" t="s">
        <v>14</v>
      </c>
      <c r="D47" s="39" t="s">
        <v>242</v>
      </c>
      <c r="E47" s="39" t="n">
        <v>3</v>
      </c>
      <c r="F47" s="39" t="n">
        <v>3</v>
      </c>
      <c r="G47" s="39" t="n">
        <v>2</v>
      </c>
      <c r="H47" s="39" t="n">
        <v>4</v>
      </c>
      <c r="I47" s="34" t="n">
        <v>3</v>
      </c>
      <c r="J47" s="34" t="s">
        <v>42</v>
      </c>
      <c r="K47" s="34" t="s">
        <v>42</v>
      </c>
      <c r="L47" s="34" t="s">
        <v>16</v>
      </c>
      <c r="M47" s="37" t="s">
        <v>255</v>
      </c>
      <c r="N47" s="37" t="s">
        <v>256</v>
      </c>
    </row>
    <row r="48" customFormat="false" ht="60" hidden="false" customHeight="true" outlineLevel="0" collapsed="false">
      <c r="A48" s="27" t="s">
        <v>257</v>
      </c>
      <c r="B48" s="37" t="s">
        <v>258</v>
      </c>
      <c r="C48" s="44" t="s">
        <v>14</v>
      </c>
      <c r="D48" s="39" t="s">
        <v>242</v>
      </c>
      <c r="E48" s="39" t="n">
        <v>3</v>
      </c>
      <c r="F48" s="39" t="n">
        <v>3</v>
      </c>
      <c r="G48" s="39" t="n">
        <v>3</v>
      </c>
      <c r="H48" s="39" t="n">
        <v>4</v>
      </c>
      <c r="I48" s="34" t="n">
        <v>3.25</v>
      </c>
      <c r="J48" s="33" t="s">
        <v>35</v>
      </c>
      <c r="K48" s="33" t="s">
        <v>35</v>
      </c>
      <c r="L48" s="34" t="s">
        <v>16</v>
      </c>
      <c r="M48" s="37" t="s">
        <v>259</v>
      </c>
      <c r="N48" s="37" t="s">
        <v>260</v>
      </c>
    </row>
    <row r="49" customFormat="false" ht="60" hidden="false" customHeight="true" outlineLevel="0" collapsed="false">
      <c r="A49" s="27" t="s">
        <v>261</v>
      </c>
      <c r="B49" s="37" t="s">
        <v>262</v>
      </c>
      <c r="C49" s="44" t="s">
        <v>14</v>
      </c>
      <c r="D49" s="39" t="s">
        <v>242</v>
      </c>
      <c r="E49" s="39" t="n">
        <v>4</v>
      </c>
      <c r="F49" s="39" t="n">
        <v>4</v>
      </c>
      <c r="G49" s="39" t="n">
        <v>3</v>
      </c>
      <c r="H49" s="39" t="n">
        <v>4</v>
      </c>
      <c r="I49" s="34" t="n">
        <v>3.75</v>
      </c>
      <c r="J49" s="33" t="s">
        <v>35</v>
      </c>
      <c r="K49" s="34" t="s">
        <v>42</v>
      </c>
      <c r="L49" s="34" t="s">
        <v>16</v>
      </c>
      <c r="M49" s="37" t="s">
        <v>263</v>
      </c>
      <c r="N49" s="37" t="s">
        <v>264</v>
      </c>
    </row>
    <row r="50" customFormat="false" ht="60" hidden="false" customHeight="true" outlineLevel="0" collapsed="false">
      <c r="A50" s="27" t="s">
        <v>265</v>
      </c>
      <c r="B50" s="37" t="s">
        <v>266</v>
      </c>
      <c r="C50" s="44" t="s">
        <v>14</v>
      </c>
      <c r="D50" s="39" t="s">
        <v>237</v>
      </c>
      <c r="E50" s="39" t="n">
        <v>4</v>
      </c>
      <c r="F50" s="39" t="n">
        <v>4</v>
      </c>
      <c r="G50" s="39" t="n">
        <v>4</v>
      </c>
      <c r="H50" s="39" t="n">
        <v>4</v>
      </c>
      <c r="I50" s="41" t="n">
        <v>4</v>
      </c>
      <c r="J50" s="33" t="s">
        <v>35</v>
      </c>
      <c r="K50" s="33" t="s">
        <v>35</v>
      </c>
      <c r="L50" s="34" t="s">
        <v>16</v>
      </c>
      <c r="M50" s="37" t="s">
        <v>267</v>
      </c>
      <c r="N50" s="37" t="s">
        <v>268</v>
      </c>
    </row>
    <row r="51" customFormat="false" ht="60" hidden="false" customHeight="true" outlineLevel="0" collapsed="false">
      <c r="A51" s="27" t="s">
        <v>269</v>
      </c>
      <c r="B51" s="37" t="s">
        <v>270</v>
      </c>
      <c r="C51" s="44" t="s">
        <v>14</v>
      </c>
      <c r="D51" s="39" t="s">
        <v>237</v>
      </c>
      <c r="E51" s="39" t="n">
        <v>4</v>
      </c>
      <c r="F51" s="39" t="n">
        <v>4</v>
      </c>
      <c r="G51" s="39" t="n">
        <v>3</v>
      </c>
      <c r="H51" s="39" t="n">
        <v>5</v>
      </c>
      <c r="I51" s="41" t="n">
        <v>4</v>
      </c>
      <c r="J51" s="33" t="s">
        <v>35</v>
      </c>
      <c r="K51" s="34" t="s">
        <v>42</v>
      </c>
      <c r="L51" s="34" t="s">
        <v>16</v>
      </c>
      <c r="M51" s="37" t="s">
        <v>271</v>
      </c>
      <c r="N51" s="37" t="s">
        <v>272</v>
      </c>
    </row>
  </sheetData>
  <autoFilter ref="A3:N51"/>
  <mergeCells count="2">
    <mergeCell ref="A1:N1"/>
    <mergeCell ref="A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8" min="2" style="0" width="14"/>
  </cols>
  <sheetData>
    <row r="1" customFormat="false" ht="31.5" hidden="false" customHeight="true" outlineLevel="0" collapsed="false">
      <c r="A1" s="35" t="s">
        <v>273</v>
      </c>
      <c r="B1" s="35"/>
      <c r="C1" s="35"/>
      <c r="D1" s="35"/>
      <c r="E1" s="35"/>
      <c r="F1" s="35"/>
      <c r="G1" s="35"/>
      <c r="H1" s="35"/>
    </row>
    <row r="3" customFormat="false" ht="31.5" hidden="false" customHeight="true" outlineLevel="0" collapsed="false">
      <c r="A3" s="20" t="s">
        <v>22</v>
      </c>
      <c r="B3" s="20" t="s">
        <v>274</v>
      </c>
      <c r="C3" s="20" t="s">
        <v>15</v>
      </c>
      <c r="D3" s="20" t="s">
        <v>16</v>
      </c>
      <c r="E3" s="20" t="s">
        <v>17</v>
      </c>
      <c r="F3" s="20" t="s">
        <v>275</v>
      </c>
      <c r="G3" s="20" t="s">
        <v>276</v>
      </c>
      <c r="H3" s="20" t="s">
        <v>277</v>
      </c>
    </row>
    <row r="4" customFormat="false" ht="25.5" hidden="false" customHeight="true" outlineLevel="0" collapsed="false">
      <c r="A4" s="21" t="s">
        <v>12</v>
      </c>
      <c r="B4" s="39" t="n">
        <v>25</v>
      </c>
      <c r="C4" s="45" t="n">
        <v>13</v>
      </c>
      <c r="D4" s="46" t="n">
        <v>10</v>
      </c>
      <c r="E4" s="47" t="n">
        <v>2</v>
      </c>
      <c r="F4" s="47" t="n">
        <v>5</v>
      </c>
      <c r="G4" s="47" t="n">
        <v>16</v>
      </c>
      <c r="H4" s="48" t="n">
        <v>3.97</v>
      </c>
    </row>
    <row r="5" customFormat="false" ht="25.5" hidden="false" customHeight="true" outlineLevel="0" collapsed="false">
      <c r="A5" s="24" t="s">
        <v>13</v>
      </c>
      <c r="B5" s="39" t="n">
        <v>14</v>
      </c>
      <c r="C5" s="45" t="n">
        <v>7</v>
      </c>
      <c r="D5" s="46" t="n">
        <v>7</v>
      </c>
      <c r="E5" s="47" t="n">
        <v>0</v>
      </c>
      <c r="F5" s="47" t="n">
        <v>3</v>
      </c>
      <c r="G5" s="47" t="n">
        <v>11</v>
      </c>
      <c r="H5" s="48" t="n">
        <v>4.18</v>
      </c>
    </row>
    <row r="6" customFormat="false" ht="25.5" hidden="false" customHeight="true" outlineLevel="0" collapsed="false">
      <c r="A6" s="27" t="s">
        <v>14</v>
      </c>
      <c r="B6" s="39" t="n">
        <v>9</v>
      </c>
      <c r="C6" s="45" t="n">
        <v>1</v>
      </c>
      <c r="D6" s="46" t="n">
        <v>7</v>
      </c>
      <c r="E6" s="47" t="n">
        <v>1</v>
      </c>
      <c r="F6" s="47" t="n">
        <v>4</v>
      </c>
      <c r="G6" s="47" t="n">
        <v>8</v>
      </c>
      <c r="H6" s="48" t="n">
        <v>3.75</v>
      </c>
    </row>
    <row r="7" customFormat="false" ht="27.75" hidden="false" customHeight="true" outlineLevel="0" collapsed="false">
      <c r="A7" s="49" t="s">
        <v>278</v>
      </c>
      <c r="B7" s="50" t="n">
        <f aca="false">SUM(B4:B6)</f>
        <v>48</v>
      </c>
      <c r="C7" s="50" t="n">
        <f aca="false">SUM(C4:C6)</f>
        <v>21</v>
      </c>
      <c r="D7" s="50" t="n">
        <f aca="false">SUM(D4:D6)</f>
        <v>24</v>
      </c>
      <c r="E7" s="50" t="n">
        <f aca="false">SUM(E4:E6)</f>
        <v>3</v>
      </c>
      <c r="F7" s="50" t="n">
        <f aca="false">SUM(F4:F6)</f>
        <v>12</v>
      </c>
      <c r="G7" s="50" t="n">
        <f aca="false">SUM(G4:G6)</f>
        <v>35</v>
      </c>
      <c r="H7" s="50" t="n">
        <f aca="false">ROUND(AVERAGE(H4:H6),2)</f>
        <v>3.97</v>
      </c>
    </row>
    <row r="10" customFormat="false" ht="25.5" hidden="false" customHeight="true" outlineLevel="0" collapsed="false">
      <c r="A10" s="16" t="s">
        <v>279</v>
      </c>
      <c r="B10" s="16"/>
      <c r="C10" s="16"/>
      <c r="D10" s="16"/>
      <c r="E10" s="16"/>
      <c r="F10" s="16"/>
      <c r="G10" s="16"/>
      <c r="H10" s="16"/>
    </row>
    <row r="11" customFormat="false" ht="27.75" hidden="false" customHeight="true" outlineLevel="0" collapsed="false">
      <c r="A11" s="20" t="s">
        <v>22</v>
      </c>
      <c r="B11" s="51" t="s">
        <v>280</v>
      </c>
      <c r="C11" s="51"/>
      <c r="D11" s="51"/>
      <c r="E11" s="51" t="s">
        <v>281</v>
      </c>
      <c r="F11" s="51"/>
      <c r="G11" s="51"/>
      <c r="H11" s="51"/>
    </row>
    <row r="12" customFormat="false" ht="109.5" hidden="false" customHeight="true" outlineLevel="0" collapsed="false">
      <c r="A12" s="21" t="s">
        <v>282</v>
      </c>
      <c r="B12" s="32" t="s">
        <v>283</v>
      </c>
      <c r="C12" s="32"/>
      <c r="D12" s="32"/>
      <c r="E12" s="32" t="s">
        <v>284</v>
      </c>
      <c r="F12" s="32"/>
      <c r="G12" s="32"/>
      <c r="H12" s="32"/>
    </row>
    <row r="13" customFormat="false" ht="109.5" hidden="false" customHeight="true" outlineLevel="0" collapsed="false">
      <c r="A13" s="24" t="s">
        <v>285</v>
      </c>
      <c r="B13" s="32" t="s">
        <v>286</v>
      </c>
      <c r="C13" s="32"/>
      <c r="D13" s="32"/>
      <c r="E13" s="32" t="s">
        <v>287</v>
      </c>
      <c r="F13" s="32"/>
      <c r="G13" s="32"/>
      <c r="H13" s="32"/>
    </row>
    <row r="14" customFormat="false" ht="109.5" hidden="false" customHeight="true" outlineLevel="0" collapsed="false">
      <c r="A14" s="27" t="s">
        <v>288</v>
      </c>
      <c r="B14" s="32" t="s">
        <v>289</v>
      </c>
      <c r="C14" s="32"/>
      <c r="D14" s="32"/>
      <c r="E14" s="32" t="s">
        <v>290</v>
      </c>
      <c r="F14" s="32"/>
      <c r="G14" s="32"/>
      <c r="H14" s="32"/>
    </row>
  </sheetData>
  <mergeCells count="10">
    <mergeCell ref="A1:H1"/>
    <mergeCell ref="A10:H10"/>
    <mergeCell ref="B11:D11"/>
    <mergeCell ref="E11:H11"/>
    <mergeCell ref="B12:D12"/>
    <mergeCell ref="E12:H12"/>
    <mergeCell ref="B13:D13"/>
    <mergeCell ref="E13:H13"/>
    <mergeCell ref="B14:D14"/>
    <mergeCell ref="E14:H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50"/>
    <col collapsed="false" customWidth="true" hidden="false" outlineLevel="0" max="5" min="5" style="0" width="60"/>
  </cols>
  <sheetData>
    <row r="1" customFormat="false" ht="31.5" hidden="false" customHeight="true" outlineLevel="0" collapsed="false">
      <c r="A1" s="35" t="s">
        <v>291</v>
      </c>
      <c r="B1" s="35"/>
      <c r="C1" s="35"/>
      <c r="D1" s="35"/>
      <c r="E1" s="35"/>
    </row>
    <row r="3" customFormat="false" ht="31.5" hidden="false" customHeight="true" outlineLevel="0" collapsed="false">
      <c r="A3" s="20" t="s">
        <v>292</v>
      </c>
      <c r="B3" s="20" t="s">
        <v>293</v>
      </c>
      <c r="C3" s="20" t="s">
        <v>294</v>
      </c>
      <c r="D3" s="20" t="s">
        <v>295</v>
      </c>
      <c r="E3" s="20" t="s">
        <v>296</v>
      </c>
    </row>
    <row r="4" customFormat="false" ht="60" hidden="false" customHeight="true" outlineLevel="0" collapsed="false">
      <c r="A4" s="48" t="n">
        <v>1</v>
      </c>
      <c r="B4" s="33" t="s">
        <v>297</v>
      </c>
      <c r="C4" s="33" t="s">
        <v>35</v>
      </c>
      <c r="D4" s="37" t="s">
        <v>298</v>
      </c>
      <c r="E4" s="37" t="s">
        <v>299</v>
      </c>
    </row>
    <row r="5" customFormat="false" ht="60" hidden="false" customHeight="true" outlineLevel="0" collapsed="false">
      <c r="A5" s="48" t="n">
        <v>2</v>
      </c>
      <c r="B5" s="33" t="s">
        <v>297</v>
      </c>
      <c r="C5" s="33" t="s">
        <v>35</v>
      </c>
      <c r="D5" s="37" t="s">
        <v>300</v>
      </c>
      <c r="E5" s="37" t="s">
        <v>301</v>
      </c>
    </row>
    <row r="6" customFormat="false" ht="60" hidden="false" customHeight="true" outlineLevel="0" collapsed="false">
      <c r="A6" s="48" t="n">
        <v>3</v>
      </c>
      <c r="B6" s="52" t="s">
        <v>302</v>
      </c>
      <c r="C6" s="33" t="s">
        <v>35</v>
      </c>
      <c r="D6" s="37" t="s">
        <v>303</v>
      </c>
      <c r="E6" s="37" t="s">
        <v>304</v>
      </c>
    </row>
    <row r="7" customFormat="false" ht="60" hidden="false" customHeight="true" outlineLevel="0" collapsed="false">
      <c r="A7" s="48" t="n">
        <v>4</v>
      </c>
      <c r="B7" s="52" t="s">
        <v>302</v>
      </c>
      <c r="C7" s="33" t="s">
        <v>35</v>
      </c>
      <c r="D7" s="37" t="s">
        <v>305</v>
      </c>
      <c r="E7" s="37" t="s">
        <v>306</v>
      </c>
    </row>
    <row r="8" customFormat="false" ht="60" hidden="false" customHeight="true" outlineLevel="0" collapsed="false">
      <c r="A8" s="48" t="n">
        <v>5</v>
      </c>
      <c r="B8" s="52" t="s">
        <v>302</v>
      </c>
      <c r="C8" s="33" t="s">
        <v>35</v>
      </c>
      <c r="D8" s="37" t="s">
        <v>307</v>
      </c>
      <c r="E8" s="37" t="s">
        <v>308</v>
      </c>
    </row>
    <row r="9" customFormat="false" ht="60" hidden="false" customHeight="true" outlineLevel="0" collapsed="false">
      <c r="A9" s="48" t="n">
        <v>6</v>
      </c>
      <c r="B9" s="34" t="s">
        <v>309</v>
      </c>
      <c r="C9" s="34" t="s">
        <v>42</v>
      </c>
      <c r="D9" s="37" t="s">
        <v>310</v>
      </c>
      <c r="E9" s="37" t="s">
        <v>311</v>
      </c>
    </row>
    <row r="10" customFormat="false" ht="60" hidden="false" customHeight="true" outlineLevel="0" collapsed="false">
      <c r="A10" s="48" t="n">
        <v>7</v>
      </c>
      <c r="B10" s="34" t="s">
        <v>309</v>
      </c>
      <c r="C10" s="34" t="s">
        <v>42</v>
      </c>
      <c r="D10" s="37" t="s">
        <v>312</v>
      </c>
      <c r="E10" s="37" t="s">
        <v>313</v>
      </c>
    </row>
    <row r="11" customFormat="false" ht="60" hidden="false" customHeight="true" outlineLevel="0" collapsed="false">
      <c r="A11" s="48" t="n">
        <v>8</v>
      </c>
      <c r="B11" s="27" t="s">
        <v>314</v>
      </c>
      <c r="C11" s="33" t="s">
        <v>35</v>
      </c>
      <c r="D11" s="37" t="s">
        <v>315</v>
      </c>
      <c r="E11" s="37" t="s">
        <v>316</v>
      </c>
    </row>
    <row r="12" customFormat="false" ht="60" hidden="false" customHeight="true" outlineLevel="0" collapsed="false">
      <c r="A12" s="48" t="n">
        <v>9</v>
      </c>
      <c r="B12" s="24" t="s">
        <v>317</v>
      </c>
      <c r="C12" s="34" t="s">
        <v>42</v>
      </c>
      <c r="D12" s="37" t="s">
        <v>318</v>
      </c>
      <c r="E12" s="37" t="s">
        <v>319</v>
      </c>
    </row>
    <row r="13" customFormat="false" ht="60" hidden="false" customHeight="true" outlineLevel="0" collapsed="false">
      <c r="A13" s="48" t="n">
        <v>10</v>
      </c>
      <c r="B13" s="24" t="s">
        <v>317</v>
      </c>
      <c r="C13" s="34" t="s">
        <v>42</v>
      </c>
      <c r="D13" s="37" t="s">
        <v>320</v>
      </c>
      <c r="E13" s="37" t="s">
        <v>321</v>
      </c>
    </row>
    <row r="14" customFormat="false" ht="60" hidden="false" customHeight="true" outlineLevel="0" collapsed="false">
      <c r="A14" s="48" t="n">
        <v>11</v>
      </c>
      <c r="B14" s="42" t="s">
        <v>322</v>
      </c>
      <c r="C14" s="34" t="s">
        <v>42</v>
      </c>
      <c r="D14" s="37" t="s">
        <v>323</v>
      </c>
      <c r="E14" s="37" t="s">
        <v>324</v>
      </c>
    </row>
    <row r="15" customFormat="false" ht="60" hidden="false" customHeight="true" outlineLevel="0" collapsed="false">
      <c r="A15" s="48" t="n">
        <v>12</v>
      </c>
      <c r="B15" s="42" t="s">
        <v>322</v>
      </c>
      <c r="C15" s="41" t="s">
        <v>72</v>
      </c>
      <c r="D15" s="37" t="s">
        <v>325</v>
      </c>
      <c r="E15" s="37" t="s">
        <v>326</v>
      </c>
    </row>
    <row r="16" customFormat="false" ht="60" hidden="false" customHeight="true" outlineLevel="0" collapsed="false">
      <c r="A16" s="48" t="n">
        <v>13</v>
      </c>
      <c r="B16" s="53" t="s">
        <v>327</v>
      </c>
      <c r="C16" s="34" t="s">
        <v>42</v>
      </c>
      <c r="D16" s="37" t="s">
        <v>328</v>
      </c>
      <c r="E16" s="37" t="s">
        <v>329</v>
      </c>
    </row>
    <row r="17" customFormat="false" ht="60" hidden="false" customHeight="true" outlineLevel="0" collapsed="false">
      <c r="A17" s="48" t="n">
        <v>14</v>
      </c>
      <c r="B17" s="24" t="s">
        <v>317</v>
      </c>
      <c r="C17" s="33" t="s">
        <v>35</v>
      </c>
      <c r="D17" s="37" t="s">
        <v>330</v>
      </c>
      <c r="E17" s="37" t="s">
        <v>331</v>
      </c>
    </row>
    <row r="18" customFormat="false" ht="60" hidden="false" customHeight="true" outlineLevel="0" collapsed="false">
      <c r="A18" s="48" t="n">
        <v>15</v>
      </c>
      <c r="B18" s="41" t="s">
        <v>332</v>
      </c>
      <c r="C18" s="41" t="s">
        <v>72</v>
      </c>
      <c r="D18" s="37" t="s">
        <v>333</v>
      </c>
      <c r="E18" s="37" t="s">
        <v>334</v>
      </c>
    </row>
    <row r="19" customFormat="false" ht="60" hidden="false" customHeight="true" outlineLevel="0" collapsed="false">
      <c r="A19" s="48" t="n">
        <v>16</v>
      </c>
      <c r="B19" s="41" t="s">
        <v>332</v>
      </c>
      <c r="C19" s="41" t="s">
        <v>72</v>
      </c>
      <c r="D19" s="37" t="s">
        <v>335</v>
      </c>
      <c r="E19" s="37" t="s">
        <v>336</v>
      </c>
    </row>
    <row r="20" customFormat="false" ht="60" hidden="false" customHeight="true" outlineLevel="0" collapsed="false">
      <c r="A20" s="48" t="n">
        <v>17</v>
      </c>
      <c r="B20" s="53" t="s">
        <v>327</v>
      </c>
      <c r="C20" s="34" t="s">
        <v>42</v>
      </c>
      <c r="D20" s="37" t="s">
        <v>337</v>
      </c>
      <c r="E20" s="37" t="s">
        <v>338</v>
      </c>
    </row>
    <row r="21" customFormat="false" ht="60" hidden="false" customHeight="true" outlineLevel="0" collapsed="false">
      <c r="A21" s="48" t="n">
        <v>18</v>
      </c>
      <c r="B21" s="34" t="s">
        <v>309</v>
      </c>
      <c r="C21" s="41" t="s">
        <v>72</v>
      </c>
      <c r="D21" s="37" t="s">
        <v>339</v>
      </c>
      <c r="E21" s="37" t="s">
        <v>340</v>
      </c>
    </row>
    <row r="22" customFormat="false" ht="60" hidden="false" customHeight="true" outlineLevel="0" collapsed="false">
      <c r="A22" s="48" t="n">
        <v>19</v>
      </c>
      <c r="B22" s="24" t="s">
        <v>317</v>
      </c>
      <c r="C22" s="33" t="s">
        <v>35</v>
      </c>
      <c r="D22" s="37" t="s">
        <v>341</v>
      </c>
      <c r="E22" s="37" t="s">
        <v>342</v>
      </c>
    </row>
    <row r="23" customFormat="false" ht="60" hidden="false" customHeight="true" outlineLevel="0" collapsed="false">
      <c r="A23" s="48" t="n">
        <v>20</v>
      </c>
      <c r="B23" s="33" t="s">
        <v>297</v>
      </c>
      <c r="C23" s="34" t="s">
        <v>42</v>
      </c>
      <c r="D23" s="37" t="s">
        <v>343</v>
      </c>
      <c r="E23" s="37" t="s">
        <v>344</v>
      </c>
    </row>
  </sheetData>
  <autoFilter ref="A3:E23"/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6"/>
    <col collapsed="false" customWidth="true" hidden="false" outlineLevel="0" max="3" min="3" style="0" width="60"/>
    <col collapsed="false" customWidth="true" hidden="false" outlineLevel="0" max="5" min="4" style="0" width="18"/>
  </cols>
  <sheetData>
    <row r="1" customFormat="false" ht="31.5" hidden="false" customHeight="true" outlineLevel="0" collapsed="false">
      <c r="A1" s="35" t="s">
        <v>345</v>
      </c>
      <c r="B1" s="35"/>
      <c r="C1" s="35"/>
      <c r="D1" s="35"/>
      <c r="E1" s="35"/>
    </row>
    <row r="2" customFormat="false" ht="21.75" hidden="false" customHeight="true" outlineLevel="0" collapsed="false">
      <c r="A2" s="2" t="s">
        <v>346</v>
      </c>
      <c r="B2" s="2"/>
      <c r="C2" s="2"/>
      <c r="D2" s="2"/>
      <c r="E2" s="2"/>
    </row>
    <row r="4" customFormat="false" ht="31.5" hidden="false" customHeight="true" outlineLevel="0" collapsed="false">
      <c r="A4" s="20" t="s">
        <v>347</v>
      </c>
      <c r="B4" s="20" t="s">
        <v>348</v>
      </c>
      <c r="C4" s="20" t="s">
        <v>349</v>
      </c>
      <c r="D4" s="20" t="s">
        <v>350</v>
      </c>
      <c r="E4" s="20" t="s">
        <v>351</v>
      </c>
    </row>
    <row r="5" customFormat="false" ht="48" hidden="false" customHeight="true" outlineLevel="0" collapsed="false">
      <c r="A5" s="33" t="s">
        <v>352</v>
      </c>
      <c r="B5" s="54" t="s">
        <v>353</v>
      </c>
      <c r="C5" s="37" t="s">
        <v>354</v>
      </c>
      <c r="D5" s="39" t="s">
        <v>355</v>
      </c>
      <c r="E5" s="39" t="s">
        <v>356</v>
      </c>
    </row>
    <row r="6" customFormat="false" ht="48" hidden="false" customHeight="true" outlineLevel="0" collapsed="false">
      <c r="A6" s="33" t="s">
        <v>352</v>
      </c>
      <c r="B6" s="54" t="s">
        <v>357</v>
      </c>
      <c r="C6" s="37" t="s">
        <v>358</v>
      </c>
      <c r="D6" s="39" t="s">
        <v>359</v>
      </c>
      <c r="E6" s="39" t="s">
        <v>360</v>
      </c>
    </row>
    <row r="7" customFormat="false" ht="48" hidden="false" customHeight="true" outlineLevel="0" collapsed="false">
      <c r="A7" s="33" t="s">
        <v>352</v>
      </c>
      <c r="B7" s="54" t="s">
        <v>361</v>
      </c>
      <c r="C7" s="37" t="s">
        <v>362</v>
      </c>
      <c r="D7" s="39" t="s">
        <v>359</v>
      </c>
      <c r="E7" s="39" t="s">
        <v>363</v>
      </c>
    </row>
    <row r="8" customFormat="false" ht="48" hidden="false" customHeight="true" outlineLevel="0" collapsed="false">
      <c r="A8" s="33" t="s">
        <v>352</v>
      </c>
      <c r="B8" s="54" t="s">
        <v>364</v>
      </c>
      <c r="C8" s="37" t="s">
        <v>365</v>
      </c>
      <c r="D8" s="39" t="s">
        <v>366</v>
      </c>
      <c r="E8" s="39" t="s">
        <v>367</v>
      </c>
    </row>
    <row r="9" customFormat="false" ht="48" hidden="false" customHeight="true" outlineLevel="0" collapsed="false">
      <c r="A9" s="33" t="s">
        <v>352</v>
      </c>
      <c r="B9" s="54" t="s">
        <v>368</v>
      </c>
      <c r="C9" s="37" t="s">
        <v>369</v>
      </c>
      <c r="D9" s="39" t="s">
        <v>370</v>
      </c>
      <c r="E9" s="39" t="s">
        <v>371</v>
      </c>
    </row>
    <row r="10" customFormat="false" ht="48" hidden="false" customHeight="true" outlineLevel="0" collapsed="false">
      <c r="A10" s="34" t="s">
        <v>372</v>
      </c>
      <c r="B10" s="54" t="s">
        <v>373</v>
      </c>
      <c r="C10" s="37" t="s">
        <v>374</v>
      </c>
      <c r="D10" s="39" t="s">
        <v>375</v>
      </c>
      <c r="E10" s="39" t="s">
        <v>376</v>
      </c>
    </row>
    <row r="11" customFormat="false" ht="48" hidden="false" customHeight="true" outlineLevel="0" collapsed="false">
      <c r="A11" s="34" t="s">
        <v>372</v>
      </c>
      <c r="B11" s="54" t="s">
        <v>377</v>
      </c>
      <c r="C11" s="37" t="s">
        <v>378</v>
      </c>
      <c r="D11" s="39" t="s">
        <v>379</v>
      </c>
      <c r="E11" s="39" t="s">
        <v>380</v>
      </c>
    </row>
    <row r="12" customFormat="false" ht="48" hidden="false" customHeight="true" outlineLevel="0" collapsed="false">
      <c r="A12" s="34" t="s">
        <v>372</v>
      </c>
      <c r="B12" s="54" t="s">
        <v>381</v>
      </c>
      <c r="C12" s="37" t="s">
        <v>382</v>
      </c>
      <c r="D12" s="39" t="s">
        <v>379</v>
      </c>
      <c r="E12" s="39" t="s">
        <v>383</v>
      </c>
    </row>
    <row r="13" customFormat="false" ht="48" hidden="false" customHeight="true" outlineLevel="0" collapsed="false">
      <c r="A13" s="34" t="s">
        <v>372</v>
      </c>
      <c r="B13" s="54" t="s">
        <v>384</v>
      </c>
      <c r="C13" s="37" t="s">
        <v>385</v>
      </c>
      <c r="D13" s="39" t="s">
        <v>355</v>
      </c>
      <c r="E13" s="39" t="s">
        <v>386</v>
      </c>
    </row>
    <row r="14" customFormat="false" ht="48" hidden="false" customHeight="true" outlineLevel="0" collapsed="false">
      <c r="A14" s="34" t="s">
        <v>372</v>
      </c>
      <c r="B14" s="54" t="s">
        <v>387</v>
      </c>
      <c r="C14" s="37" t="s">
        <v>388</v>
      </c>
      <c r="D14" s="39" t="s">
        <v>359</v>
      </c>
      <c r="E14" s="39" t="s">
        <v>389</v>
      </c>
    </row>
    <row r="15" customFormat="false" ht="48" hidden="false" customHeight="true" outlineLevel="0" collapsed="false">
      <c r="A15" s="52" t="s">
        <v>390</v>
      </c>
      <c r="B15" s="54" t="s">
        <v>391</v>
      </c>
      <c r="C15" s="37" t="s">
        <v>392</v>
      </c>
      <c r="D15" s="39" t="s">
        <v>366</v>
      </c>
      <c r="E15" s="39" t="s">
        <v>393</v>
      </c>
    </row>
    <row r="16" customFormat="false" ht="48" hidden="false" customHeight="true" outlineLevel="0" collapsed="false">
      <c r="A16" s="52" t="s">
        <v>390</v>
      </c>
      <c r="B16" s="54" t="s">
        <v>394</v>
      </c>
      <c r="C16" s="37" t="s">
        <v>395</v>
      </c>
      <c r="D16" s="39" t="s">
        <v>379</v>
      </c>
      <c r="E16" s="39" t="s">
        <v>396</v>
      </c>
    </row>
    <row r="17" customFormat="false" ht="48" hidden="false" customHeight="true" outlineLevel="0" collapsed="false">
      <c r="A17" s="52" t="s">
        <v>390</v>
      </c>
      <c r="B17" s="54" t="s">
        <v>397</v>
      </c>
      <c r="C17" s="37" t="s">
        <v>398</v>
      </c>
      <c r="D17" s="39" t="s">
        <v>359</v>
      </c>
      <c r="E17" s="39" t="s">
        <v>399</v>
      </c>
    </row>
    <row r="18" customFormat="false" ht="48" hidden="false" customHeight="true" outlineLevel="0" collapsed="false">
      <c r="A18" s="52" t="s">
        <v>390</v>
      </c>
      <c r="B18" s="54" t="s">
        <v>400</v>
      </c>
      <c r="C18" s="37" t="s">
        <v>401</v>
      </c>
      <c r="D18" s="39" t="s">
        <v>370</v>
      </c>
      <c r="E18" s="39" t="s">
        <v>402</v>
      </c>
    </row>
    <row r="19" customFormat="false" ht="48" hidden="false" customHeight="true" outlineLevel="0" collapsed="false">
      <c r="A19" s="52" t="s">
        <v>390</v>
      </c>
      <c r="B19" s="54" t="s">
        <v>403</v>
      </c>
      <c r="C19" s="37" t="s">
        <v>404</v>
      </c>
      <c r="D19" s="39" t="s">
        <v>370</v>
      </c>
      <c r="E19" s="39" t="s">
        <v>405</v>
      </c>
    </row>
    <row r="22" customFormat="false" ht="25.5" hidden="false" customHeight="true" outlineLevel="0" collapsed="false">
      <c r="A22" s="55" t="s">
        <v>406</v>
      </c>
      <c r="B22" s="55"/>
      <c r="C22" s="55"/>
      <c r="D22" s="55"/>
      <c r="E22" s="55"/>
    </row>
    <row r="23" customFormat="false" ht="25.5" hidden="false" customHeight="true" outlineLevel="0" collapsed="false">
      <c r="A23" s="56" t="s">
        <v>407</v>
      </c>
      <c r="B23" s="56"/>
      <c r="C23" s="57" t="s">
        <v>408</v>
      </c>
      <c r="D23" s="57"/>
      <c r="E23" s="57"/>
    </row>
    <row r="24" customFormat="false" ht="25.5" hidden="false" customHeight="true" outlineLevel="0" collapsed="false">
      <c r="A24" s="58" t="s">
        <v>409</v>
      </c>
      <c r="B24" s="58"/>
      <c r="C24" s="59" t="s">
        <v>410</v>
      </c>
      <c r="D24" s="59"/>
      <c r="E24" s="59"/>
    </row>
    <row r="25" customFormat="false" ht="25.5" hidden="false" customHeight="true" outlineLevel="0" collapsed="false">
      <c r="A25" s="60" t="s">
        <v>411</v>
      </c>
      <c r="B25" s="60"/>
      <c r="C25" s="61" t="s">
        <v>412</v>
      </c>
      <c r="D25" s="61"/>
      <c r="E25" s="61"/>
    </row>
  </sheetData>
  <mergeCells count="9">
    <mergeCell ref="A1:E1"/>
    <mergeCell ref="A2:E2"/>
    <mergeCell ref="A22:E22"/>
    <mergeCell ref="A23:B23"/>
    <mergeCell ref="C23:E23"/>
    <mergeCell ref="A24:B24"/>
    <mergeCell ref="C24:E24"/>
    <mergeCell ref="A25:B25"/>
    <mergeCell ref="C25:E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50"/>
    <col collapsed="false" customWidth="true" hidden="false" outlineLevel="0" max="3" min="3" style="0" width="60"/>
  </cols>
  <sheetData>
    <row r="1" customFormat="false" ht="31.5" hidden="false" customHeight="true" outlineLevel="0" collapsed="false">
      <c r="A1" s="35" t="s">
        <v>413</v>
      </c>
      <c r="B1" s="35"/>
      <c r="C1" s="35"/>
    </row>
    <row r="3" customFormat="false" ht="24" hidden="false" customHeight="true" outlineLevel="0" collapsed="false">
      <c r="A3" s="55" t="s">
        <v>414</v>
      </c>
      <c r="B3" s="55"/>
      <c r="C3" s="55"/>
    </row>
    <row r="4" customFormat="false" ht="27.75" hidden="false" customHeight="true" outlineLevel="0" collapsed="false">
      <c r="A4" s="20" t="s">
        <v>415</v>
      </c>
      <c r="B4" s="20" t="s">
        <v>349</v>
      </c>
      <c r="C4" s="20" t="s">
        <v>416</v>
      </c>
    </row>
    <row r="5" customFormat="false" ht="69.75" hidden="false" customHeight="true" outlineLevel="0" collapsed="false">
      <c r="A5" s="62" t="s">
        <v>417</v>
      </c>
      <c r="B5" s="37" t="s">
        <v>418</v>
      </c>
      <c r="C5" s="37" t="s">
        <v>419</v>
      </c>
    </row>
    <row r="6" customFormat="false" ht="69.75" hidden="false" customHeight="true" outlineLevel="0" collapsed="false">
      <c r="A6" s="62" t="s">
        <v>420</v>
      </c>
      <c r="B6" s="37" t="s">
        <v>421</v>
      </c>
      <c r="C6" s="37" t="s">
        <v>422</v>
      </c>
    </row>
    <row r="7" customFormat="false" ht="69.75" hidden="false" customHeight="true" outlineLevel="0" collapsed="false">
      <c r="A7" s="62" t="s">
        <v>423</v>
      </c>
      <c r="B7" s="37" t="s">
        <v>424</v>
      </c>
      <c r="C7" s="37" t="s">
        <v>425</v>
      </c>
    </row>
    <row r="8" customFormat="false" ht="69.75" hidden="false" customHeight="true" outlineLevel="0" collapsed="false">
      <c r="A8" s="62" t="s">
        <v>426</v>
      </c>
      <c r="B8" s="37" t="s">
        <v>427</v>
      </c>
      <c r="C8" s="37" t="s">
        <v>428</v>
      </c>
    </row>
    <row r="9" customFormat="false" ht="69.75" hidden="false" customHeight="true" outlineLevel="0" collapsed="false">
      <c r="A9" s="62" t="s">
        <v>429</v>
      </c>
      <c r="B9" s="37" t="s">
        <v>430</v>
      </c>
      <c r="C9" s="37" t="s">
        <v>431</v>
      </c>
    </row>
    <row r="11" customFormat="false" ht="24" hidden="false" customHeight="true" outlineLevel="0" collapsed="false">
      <c r="A11" s="63" t="s">
        <v>432</v>
      </c>
      <c r="B11" s="63"/>
      <c r="C11" s="63"/>
    </row>
    <row r="12" customFormat="false" ht="24" hidden="false" customHeight="true" outlineLevel="0" collapsed="false">
      <c r="A12" s="20" t="s">
        <v>433</v>
      </c>
      <c r="B12" s="20" t="s">
        <v>434</v>
      </c>
      <c r="C12" s="20"/>
    </row>
    <row r="13" customFormat="false" ht="25.5" hidden="false" customHeight="true" outlineLevel="0" collapsed="false">
      <c r="A13" s="40" t="s">
        <v>435</v>
      </c>
      <c r="B13" s="64" t="s">
        <v>436</v>
      </c>
      <c r="C13" s="64"/>
    </row>
    <row r="14" customFormat="false" ht="25.5" hidden="false" customHeight="true" outlineLevel="0" collapsed="false">
      <c r="A14" s="41" t="s">
        <v>437</v>
      </c>
      <c r="B14" s="65" t="s">
        <v>438</v>
      </c>
      <c r="C14" s="65"/>
    </row>
    <row r="15" customFormat="false" ht="25.5" hidden="false" customHeight="true" outlineLevel="0" collapsed="false">
      <c r="A15" s="34" t="s">
        <v>439</v>
      </c>
      <c r="B15" s="66" t="s">
        <v>440</v>
      </c>
      <c r="C15" s="66"/>
    </row>
    <row r="16" customFormat="false" ht="25.5" hidden="false" customHeight="true" outlineLevel="0" collapsed="false">
      <c r="A16" s="33" t="s">
        <v>441</v>
      </c>
      <c r="B16" s="67" t="s">
        <v>442</v>
      </c>
      <c r="C16" s="67"/>
    </row>
    <row r="19" customFormat="false" ht="24" hidden="false" customHeight="true" outlineLevel="0" collapsed="false">
      <c r="A19" s="68" t="s">
        <v>443</v>
      </c>
      <c r="B19" s="68"/>
      <c r="C19" s="68"/>
    </row>
    <row r="20" customFormat="false" ht="24" hidden="false" customHeight="true" outlineLevel="0" collapsed="false">
      <c r="A20" s="20" t="s">
        <v>57</v>
      </c>
      <c r="B20" s="20" t="s">
        <v>349</v>
      </c>
      <c r="C20" s="20"/>
    </row>
    <row r="21" customFormat="false" ht="31.5" hidden="false" customHeight="true" outlineLevel="0" collapsed="false">
      <c r="A21" s="41" t="s">
        <v>15</v>
      </c>
      <c r="B21" s="32" t="s">
        <v>444</v>
      </c>
      <c r="C21" s="32"/>
    </row>
    <row r="22" customFormat="false" ht="31.5" hidden="false" customHeight="true" outlineLevel="0" collapsed="false">
      <c r="A22" s="34" t="s">
        <v>16</v>
      </c>
      <c r="B22" s="32" t="s">
        <v>445</v>
      </c>
      <c r="C22" s="32"/>
    </row>
    <row r="23" customFormat="false" ht="31.5" hidden="false" customHeight="true" outlineLevel="0" collapsed="false">
      <c r="A23" s="33" t="s">
        <v>17</v>
      </c>
      <c r="B23" s="32" t="s">
        <v>446</v>
      </c>
      <c r="C23" s="32"/>
    </row>
  </sheetData>
  <mergeCells count="13">
    <mergeCell ref="A1:C1"/>
    <mergeCell ref="A3:C3"/>
    <mergeCell ref="A11:C11"/>
    <mergeCell ref="B12:C12"/>
    <mergeCell ref="B13:C13"/>
    <mergeCell ref="B14:C14"/>
    <mergeCell ref="B15:C15"/>
    <mergeCell ref="B16:C16"/>
    <mergeCell ref="A19:C19"/>
    <mergeCell ref="B20:C20"/>
    <mergeCell ref="B21:C21"/>
    <mergeCell ref="B22:C22"/>
    <mergeCell ref="B23:C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2026-05-07T06:54:01Z</dcterms:created>
  <dc:creator>openpyxl</dc:creator>
  <dc:description/>
  <dc:language>en-US</dc:language>
  <cp:lastModifiedBy/>
  <dcterms:modified xsi:type="dcterms:W3CDTF">2026-05-07T06:54:01Z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